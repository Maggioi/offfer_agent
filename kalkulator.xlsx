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michau\skrypty\offfer_agent\"/>
    </mc:Choice>
  </mc:AlternateContent>
  <xr:revisionPtr revIDLastSave="0" documentId="13_ncr:1_{094BE1A3-B14D-4E5C-AB39-E13CCF0914C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KALKULATOR" sheetId="1" r:id="rId1"/>
  </sheets>
  <externalReferences>
    <externalReference r:id="rId2"/>
  </externalReferences>
  <definedNames>
    <definedName name="szkło">[1]DANE!$B$43:$B$47</definedName>
    <definedName name="tak_nie">[1]DANE!$B$52:$B$53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5" i="1" l="1"/>
  <c r="Y25" i="1"/>
  <c r="R25" i="1"/>
  <c r="L25" i="1"/>
  <c r="K25" i="1"/>
  <c r="J25" i="1"/>
  <c r="I25" i="1"/>
  <c r="C25" i="1"/>
  <c r="AE24" i="1"/>
  <c r="N24" i="1"/>
  <c r="Q24" i="1" s="1"/>
  <c r="AE23" i="1"/>
  <c r="Y23" i="1"/>
  <c r="R23" i="1"/>
  <c r="L23" i="1"/>
  <c r="K23" i="1"/>
  <c r="J23" i="1"/>
  <c r="I23" i="1"/>
  <c r="C23" i="1"/>
  <c r="AE22" i="1"/>
  <c r="N22" i="1"/>
  <c r="Q22" i="1" s="1"/>
  <c r="AE21" i="1"/>
  <c r="Y21" i="1"/>
  <c r="R21" i="1"/>
  <c r="L21" i="1"/>
  <c r="K21" i="1"/>
  <c r="J21" i="1"/>
  <c r="I21" i="1"/>
  <c r="C21" i="1"/>
  <c r="AE20" i="1"/>
  <c r="N20" i="1"/>
  <c r="Q20" i="1" s="1"/>
  <c r="AE19" i="1"/>
  <c r="Y19" i="1"/>
  <c r="R19" i="1"/>
  <c r="L19" i="1"/>
  <c r="K19" i="1"/>
  <c r="J19" i="1"/>
  <c r="I19" i="1"/>
  <c r="C19" i="1"/>
  <c r="AE18" i="1"/>
  <c r="N18" i="1"/>
  <c r="Q18" i="1" s="1"/>
  <c r="AE17" i="1"/>
  <c r="Y17" i="1"/>
  <c r="R17" i="1"/>
  <c r="L17" i="1"/>
  <c r="K17" i="1"/>
  <c r="J17" i="1"/>
  <c r="I17" i="1"/>
  <c r="C17" i="1"/>
  <c r="AE16" i="1"/>
  <c r="N16" i="1"/>
  <c r="Q16" i="1" s="1"/>
  <c r="AE15" i="1"/>
  <c r="Y15" i="1"/>
  <c r="R15" i="1"/>
  <c r="L15" i="1"/>
  <c r="K15" i="1"/>
  <c r="J15" i="1"/>
  <c r="I15" i="1"/>
  <c r="C15" i="1"/>
  <c r="AE14" i="1"/>
  <c r="N14" i="1"/>
  <c r="Q14" i="1" s="1"/>
  <c r="AE13" i="1"/>
  <c r="Y13" i="1"/>
  <c r="R13" i="1"/>
  <c r="L13" i="1"/>
  <c r="K13" i="1"/>
  <c r="J13" i="1"/>
  <c r="I13" i="1"/>
  <c r="C13" i="1"/>
  <c r="AE12" i="1"/>
  <c r="N12" i="1"/>
  <c r="Q12" i="1" s="1"/>
  <c r="AE11" i="1"/>
  <c r="Y11" i="1"/>
  <c r="R11" i="1"/>
  <c r="L11" i="1"/>
  <c r="K11" i="1"/>
  <c r="J11" i="1"/>
  <c r="I11" i="1"/>
  <c r="C11" i="1"/>
  <c r="AE10" i="1"/>
  <c r="N10" i="1"/>
  <c r="Q10" i="1" s="1"/>
  <c r="AE9" i="1"/>
  <c r="Y9" i="1"/>
  <c r="R9" i="1"/>
  <c r="L9" i="1"/>
  <c r="K9" i="1"/>
  <c r="J9" i="1"/>
  <c r="I9" i="1"/>
  <c r="C9" i="1"/>
  <c r="AE8" i="1"/>
  <c r="N8" i="1"/>
  <c r="Q8" i="1" s="1"/>
  <c r="AE7" i="1"/>
  <c r="Y7" i="1"/>
  <c r="R7" i="1"/>
  <c r="L7" i="1"/>
  <c r="K7" i="1"/>
  <c r="J7" i="1"/>
  <c r="C7" i="1"/>
  <c r="AE6" i="1"/>
  <c r="AF5" i="1"/>
  <c r="AE5" i="1"/>
  <c r="AD5" i="1"/>
  <c r="AC5" i="1"/>
  <c r="AB5" i="1"/>
  <c r="O5" i="1"/>
  <c r="K5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H4" i="1"/>
  <c r="G4" i="1"/>
  <c r="F4" i="1"/>
  <c r="E4" i="1"/>
  <c r="D4" i="1"/>
  <c r="C4" i="1"/>
  <c r="B4" i="1"/>
  <c r="W3" i="1"/>
  <c r="V3" i="1"/>
  <c r="U3" i="1"/>
  <c r="AE2" i="1"/>
  <c r="Y2" i="1"/>
  <c r="AD1" i="1"/>
  <c r="Y1" i="1"/>
  <c r="X1" i="1"/>
  <c r="W1" i="1"/>
  <c r="U1" i="1"/>
  <c r="R1" i="1"/>
  <c r="C1" i="1"/>
  <c r="A1" i="1"/>
  <c r="Q6" i="1" l="1"/>
  <c r="I7" i="1"/>
  <c r="AC22" i="1"/>
  <c r="AC8" i="1"/>
  <c r="AC20" i="1"/>
  <c r="AC18" i="1"/>
  <c r="AC12" i="1"/>
  <c r="AC16" i="1"/>
  <c r="AC14" i="1"/>
  <c r="AC10" i="1"/>
  <c r="AC24" i="1"/>
  <c r="AB14" i="1" l="1"/>
  <c r="AD14" i="1"/>
  <c r="AF14" i="1" s="1"/>
  <c r="AD18" i="1"/>
  <c r="AF18" i="1" s="1"/>
  <c r="AB18" i="1"/>
  <c r="AD22" i="1" l="1"/>
  <c r="AF22" i="1" s="1"/>
  <c r="AB22" i="1"/>
  <c r="AD10" i="1" l="1"/>
  <c r="AF10" i="1" s="1"/>
  <c r="AB10" i="1"/>
  <c r="AB8" i="1"/>
  <c r="AD8" i="1"/>
  <c r="AF8" i="1" s="1"/>
  <c r="AD20" i="1"/>
  <c r="AF20" i="1" s="1"/>
  <c r="AB20" i="1"/>
  <c r="AB12" i="1"/>
  <c r="AD12" i="1"/>
  <c r="AF12" i="1" s="1"/>
  <c r="AD24" i="1"/>
  <c r="AF24" i="1" s="1"/>
  <c r="AB24" i="1"/>
  <c r="AD16" i="1"/>
  <c r="AF16" i="1" s="1"/>
  <c r="AB16" i="1"/>
  <c r="AC6" i="1" l="1"/>
  <c r="AB6" i="1" l="1"/>
  <c r="AD6" i="1"/>
  <c r="AF6" i="1" l="1"/>
  <c r="AF2" i="1" s="1"/>
  <c r="AF1" i="1"/>
  <c r="AE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tc={8C86D807-D46F-4CAC-BBE9-D7B142D8DCAB}</author>
  </authors>
  <commentList>
    <comment ref="X3" authorId="0" shapeId="0" xr:uid="{8C86D807-D46F-4CAC-BBE9-D7B142D8DCAB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TAK = YES</t>
      </text>
    </comment>
  </commentList>
</comments>
</file>

<file path=xl/sharedStrings.xml><?xml version="1.0" encoding="utf-8"?>
<sst xmlns="http://schemas.openxmlformats.org/spreadsheetml/2006/main" count="42" uniqueCount="18">
  <si>
    <t>wersja 1.19 [9/2025]</t>
  </si>
  <si>
    <t>PL</t>
  </si>
  <si>
    <t>---</t>
  </si>
  <si>
    <t>TAK</t>
  </si>
  <si>
    <t>EUR</t>
  </si>
  <si>
    <t>Liczba stosów park.</t>
  </si>
  <si>
    <t>∑∑</t>
  </si>
  <si>
    <t>[-]</t>
  </si>
  <si>
    <t>[0/1]</t>
  </si>
  <si>
    <t>[mm]</t>
  </si>
  <si>
    <t>[J / NPN]</t>
  </si>
  <si>
    <t>[szt.]</t>
  </si>
  <si>
    <t>45/49/51/
53/54/57/EI</t>
  </si>
  <si>
    <t>[*]</t>
  </si>
  <si>
    <t>min. 1</t>
  </si>
  <si>
    <t>[szt]</t>
  </si>
  <si>
    <t>sugerowana liczba stosów:</t>
  </si>
  <si>
    <t>npn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</si>
</sst>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zł&quot;_-;\-* #,##0.00\ &quot;zł&quot;_-;_-* &quot;-&quot;??\ &quot;zł&quot;_-;_-@_-"/>
    <numFmt numFmtId="164" formatCode="#,##0\ &quot;zł&quot;"/>
    <numFmt numFmtId="165" formatCode="#,##0.00\ &quot;zł&quot;"/>
    <numFmt numFmtId="166" formatCode="_-* #,##0\ &quot;zł&quot;_-;\-* #,##0\ &quot;zł&quot;_-;_-* &quot;-&quot;??\ &quot;zł&quot;_-;_-@_-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0"/>
      <name val="Calibri"/>
      <family val="2"/>
      <charset val="238"/>
      <scheme val="minor"/>
    </font>
    <font>
      <sz val="16"/>
      <color theme="0"/>
      <name val="Calibri"/>
      <family val="2"/>
      <charset val="238"/>
      <scheme val="minor"/>
    </font>
    <font>
      <b/>
      <i/>
      <sz val="10"/>
      <color theme="0"/>
      <name val="Calibri"/>
      <family val="2"/>
      <charset val="238"/>
      <scheme val="minor"/>
    </font>
    <font>
      <i/>
      <sz val="10"/>
      <color theme="0"/>
      <name val="Calibri"/>
      <family val="2"/>
      <charset val="238"/>
      <scheme val="minor"/>
    </font>
    <font>
      <sz val="12"/>
      <color rgb="FFFFFF00"/>
      <name val="Calibri"/>
      <family val="2"/>
      <charset val="238"/>
      <scheme val="minor"/>
    </font>
    <font>
      <i/>
      <sz val="12"/>
      <color theme="0"/>
      <name val="Calibri"/>
      <family val="2"/>
      <charset val="238"/>
      <scheme val="minor"/>
    </font>
    <font>
      <b/>
      <sz val="9"/>
      <color theme="0"/>
      <name val="Calibri"/>
      <family val="2"/>
      <charset val="238"/>
      <scheme val="minor"/>
    </font>
    <font>
      <b/>
      <sz val="14"/>
      <color theme="0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i/>
      <sz val="12"/>
      <color rgb="FF00B050"/>
      <name val="Calibri"/>
      <family val="2"/>
      <charset val="238"/>
      <scheme val="minor"/>
    </font>
    <font>
      <i/>
      <sz val="12"/>
      <color rgb="FFFF0000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b/>
      <sz val="8"/>
      <color rgb="FF000000"/>
      <name val="Calibri"/>
      <family val="2"/>
      <charset val="238"/>
      <scheme val="minor"/>
    </font>
    <font>
      <b/>
      <sz val="9"/>
      <color rgb="FF000000"/>
      <name val="Calibri"/>
      <family val="2"/>
      <charset val="238"/>
      <scheme val="minor"/>
    </font>
    <font>
      <b/>
      <sz val="10"/>
      <color rgb="FF000000"/>
      <name val="Calibri"/>
      <family val="2"/>
      <charset val="238"/>
      <scheme val="minor"/>
    </font>
    <font>
      <sz val="10"/>
      <color rgb="FF000000"/>
      <name val="Calibri"/>
      <family val="2"/>
      <charset val="238"/>
      <scheme val="minor"/>
    </font>
    <font>
      <sz val="8"/>
      <color rgb="FF00000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b/>
      <sz val="8"/>
      <color rgb="FFFF0000"/>
      <name val="Calibri"/>
      <family val="2"/>
      <charset val="238"/>
      <scheme val="minor"/>
    </font>
    <font>
      <i/>
      <sz val="8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i/>
      <sz val="9"/>
      <color theme="0" tint="-4.9989318521683403E-2"/>
      <name val="Calibri"/>
      <family val="2"/>
      <charset val="238"/>
      <scheme val="minor"/>
    </font>
    <font>
      <b/>
      <sz val="10"/>
      <color theme="0" tint="-4.9989318521683403E-2"/>
      <name val="Calibri"/>
      <family val="2"/>
      <charset val="238"/>
      <scheme val="minor"/>
    </font>
    <font>
      <b/>
      <sz val="9"/>
      <color theme="1"/>
      <name val="Calibri"/>
      <family val="2"/>
      <charset val="238"/>
      <scheme val="minor"/>
    </font>
    <font>
      <b/>
      <sz val="9"/>
      <color rgb="FFFF000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rgb="FFFFFF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00"/>
      </patternFill>
    </fill>
  </fills>
  <borders count="25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9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4" fontId="13" fillId="0" borderId="0" xfId="0" applyNumberFormat="1" applyFont="1" applyAlignment="1">
      <alignment horizontal="center" vertical="top"/>
    </xf>
    <xf numFmtId="3" fontId="14" fillId="2" borderId="2" xfId="0" applyNumberFormat="1" applyFont="1" applyFill="1" applyBorder="1" applyAlignment="1" applyProtection="1">
      <alignment horizontal="center" vertical="center"/>
      <protection locked="0"/>
    </xf>
    <xf numFmtId="2" fontId="9" fillId="2" borderId="11" xfId="0" applyNumberFormat="1" applyFont="1" applyFill="1" applyBorder="1" applyAlignment="1" applyProtection="1">
      <alignment horizontal="center" vertical="center" wrapText="1"/>
      <protection locked="0"/>
    </xf>
    <xf numFmtId="2" fontId="9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10" fillId="5" borderId="9" xfId="0" applyFont="1" applyFill="1" applyBorder="1" applyAlignment="1" applyProtection="1">
      <alignment horizontal="center" vertical="center" wrapText="1"/>
      <protection locked="0"/>
    </xf>
    <xf numFmtId="9" fontId="17" fillId="4" borderId="10" xfId="2" applyFont="1" applyFill="1" applyBorder="1" applyAlignment="1" applyProtection="1">
      <alignment horizontal="left" vertical="center" wrapText="1"/>
    </xf>
    <xf numFmtId="164" fontId="18" fillId="4" borderId="8" xfId="0" applyNumberFormat="1" applyFont="1" applyFill="1" applyBorder="1" applyAlignment="1">
      <alignment horizontal="center" vertical="center"/>
    </xf>
    <xf numFmtId="0" fontId="11" fillId="6" borderId="15" xfId="0" applyFont="1" applyFill="1" applyBorder="1" applyAlignment="1" applyProtection="1">
      <alignment horizontal="center" vertical="center" wrapText="1"/>
      <protection locked="0"/>
    </xf>
    <xf numFmtId="165" fontId="11" fillId="6" borderId="15" xfId="1" applyNumberFormat="1" applyFont="1" applyFill="1" applyBorder="1" applyAlignment="1" applyProtection="1">
      <alignment horizontal="center" vertical="center" wrapText="1"/>
      <protection locked="0"/>
    </xf>
    <xf numFmtId="165" fontId="11" fillId="6" borderId="0" xfId="1" applyNumberFormat="1" applyFont="1" applyFill="1" applyBorder="1" applyAlignment="1" applyProtection="1">
      <alignment horizontal="center" vertical="center" wrapText="1"/>
      <protection locked="0"/>
    </xf>
    <xf numFmtId="0" fontId="11" fillId="6" borderId="0" xfId="0" applyFont="1" applyFill="1" applyAlignment="1" applyProtection="1">
      <alignment horizontal="center" vertical="center" wrapText="1"/>
      <protection locked="0"/>
    </xf>
    <xf numFmtId="166" fontId="19" fillId="0" borderId="16" xfId="2" applyNumberFormat="1" applyFont="1" applyFill="1" applyBorder="1" applyAlignment="1" applyProtection="1">
      <alignment horizontal="center" vertical="center"/>
    </xf>
    <xf numFmtId="4" fontId="20" fillId="0" borderId="16" xfId="2" applyNumberFormat="1" applyFont="1" applyFill="1" applyBorder="1" applyAlignment="1">
      <alignment horizontal="center" vertical="center"/>
    </xf>
    <xf numFmtId="0" fontId="21" fillId="7" borderId="18" xfId="0" applyFont="1" applyFill="1" applyBorder="1" applyAlignment="1">
      <alignment horizontal="center" vertical="center" wrapText="1"/>
    </xf>
    <xf numFmtId="0" fontId="21" fillId="7" borderId="19" xfId="0" applyFont="1" applyFill="1" applyBorder="1" applyAlignment="1">
      <alignment horizontal="center" vertical="center" wrapText="1"/>
    </xf>
    <xf numFmtId="0" fontId="22" fillId="7" borderId="19" xfId="0" applyFont="1" applyFill="1" applyBorder="1" applyAlignment="1">
      <alignment horizontal="center" vertical="center" wrapText="1"/>
    </xf>
    <xf numFmtId="0" fontId="23" fillId="7" borderId="19" xfId="0" applyFont="1" applyFill="1" applyBorder="1" applyAlignment="1">
      <alignment horizontal="center" vertical="center" wrapText="1"/>
    </xf>
    <xf numFmtId="0" fontId="24" fillId="7" borderId="19" xfId="0" applyFont="1" applyFill="1" applyBorder="1" applyAlignment="1">
      <alignment horizontal="center" vertical="center" wrapText="1"/>
    </xf>
    <xf numFmtId="0" fontId="25" fillId="8" borderId="20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26" fillId="8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/>
    </xf>
    <xf numFmtId="1" fontId="21" fillId="9" borderId="20" xfId="0" applyNumberFormat="1" applyFont="1" applyFill="1" applyBorder="1" applyAlignment="1" applyProtection="1">
      <alignment horizontal="center" vertical="center"/>
      <protection locked="0"/>
    </xf>
    <xf numFmtId="2" fontId="21" fillId="9" borderId="20" xfId="0" applyNumberFormat="1" applyFont="1" applyFill="1" applyBorder="1" applyAlignment="1" applyProtection="1">
      <alignment horizontal="center" vertical="center"/>
      <protection locked="0"/>
    </xf>
    <xf numFmtId="0" fontId="21" fillId="10" borderId="20" xfId="0" applyFont="1" applyFill="1" applyBorder="1" applyAlignment="1" applyProtection="1">
      <alignment horizontal="center" vertical="center"/>
      <protection locked="0"/>
    </xf>
    <xf numFmtId="0" fontId="21" fillId="11" borderId="20" xfId="0" applyFont="1" applyFill="1" applyBorder="1" applyAlignment="1" applyProtection="1">
      <alignment horizontal="center" vertical="center"/>
      <protection locked="0"/>
    </xf>
    <xf numFmtId="0" fontId="27" fillId="11" borderId="20" xfId="0" applyFont="1" applyFill="1" applyBorder="1" applyAlignment="1" applyProtection="1">
      <alignment horizontal="center" vertical="center"/>
      <protection locked="0"/>
    </xf>
    <xf numFmtId="0" fontId="27" fillId="8" borderId="20" xfId="0" applyFont="1" applyFill="1" applyBorder="1" applyAlignment="1">
      <alignment horizontal="center" vertical="center"/>
    </xf>
    <xf numFmtId="0" fontId="27" fillId="10" borderId="20" xfId="0" applyFont="1" applyFill="1" applyBorder="1" applyAlignment="1" applyProtection="1">
      <alignment horizontal="center" vertical="center"/>
      <protection locked="0"/>
    </xf>
    <xf numFmtId="49" fontId="27" fillId="11" borderId="20" xfId="0" applyNumberFormat="1" applyFont="1" applyFill="1" applyBorder="1" applyAlignment="1" applyProtection="1">
      <alignment horizontal="center" vertical="center"/>
      <protection locked="0"/>
    </xf>
    <xf numFmtId="3" fontId="0" fillId="12" borderId="20" xfId="0" applyNumberFormat="1" applyFill="1" applyBorder="1" applyAlignment="1">
      <alignment horizontal="center" vertical="center"/>
    </xf>
    <xf numFmtId="3" fontId="3" fillId="4" borderId="20" xfId="0" applyNumberFormat="1" applyFont="1" applyFill="1" applyBorder="1" applyAlignment="1">
      <alignment horizontal="center" vertical="center"/>
    </xf>
    <xf numFmtId="0" fontId="18" fillId="13" borderId="20" xfId="0" applyFont="1" applyFill="1" applyBorder="1" applyAlignment="1">
      <alignment horizontal="center" vertical="center"/>
    </xf>
    <xf numFmtId="0" fontId="18" fillId="13" borderId="22" xfId="0" applyFont="1" applyFill="1" applyBorder="1" applyAlignment="1">
      <alignment horizontal="center" vertical="center"/>
    </xf>
    <xf numFmtId="2" fontId="28" fillId="14" borderId="22" xfId="0" applyNumberFormat="1" applyFont="1" applyFill="1" applyBorder="1" applyAlignment="1">
      <alignment horizontal="left" vertical="center"/>
    </xf>
    <xf numFmtId="0" fontId="27" fillId="13" borderId="23" xfId="0" applyFont="1" applyFill="1" applyBorder="1" applyAlignment="1">
      <alignment horizontal="center" vertical="center"/>
    </xf>
    <xf numFmtId="2" fontId="29" fillId="14" borderId="22" xfId="0" applyNumberFormat="1" applyFont="1" applyFill="1" applyBorder="1" applyAlignment="1">
      <alignment horizontal="right" vertical="center"/>
    </xf>
    <xf numFmtId="1" fontId="30" fillId="14" borderId="22" xfId="0" applyNumberFormat="1" applyFont="1" applyFill="1" applyBorder="1" applyAlignment="1">
      <alignment horizontal="center" vertical="center"/>
    </xf>
    <xf numFmtId="0" fontId="28" fillId="13" borderId="22" xfId="0" applyFont="1" applyFill="1" applyBorder="1" applyAlignment="1">
      <alignment horizontal="left" vertical="center"/>
    </xf>
    <xf numFmtId="0" fontId="31" fillId="13" borderId="24" xfId="0" applyFont="1" applyFill="1" applyBorder="1" applyAlignment="1">
      <alignment horizontal="right" vertical="center"/>
    </xf>
    <xf numFmtId="166" fontId="32" fillId="13" borderId="23" xfId="0" applyNumberFormat="1" applyFont="1" applyFill="1" applyBorder="1" applyAlignment="1">
      <alignment horizontal="center" vertical="center"/>
    </xf>
    <xf numFmtId="164" fontId="32" fillId="13" borderId="22" xfId="0" applyNumberFormat="1" applyFont="1" applyFill="1" applyBorder="1" applyAlignment="1">
      <alignment vertical="center"/>
    </xf>
    <xf numFmtId="164" fontId="28" fillId="13" borderId="23" xfId="0" applyNumberFormat="1" applyFont="1" applyFill="1" applyBorder="1" applyAlignment="1">
      <alignment vertical="center"/>
    </xf>
    <xf numFmtId="166" fontId="33" fillId="13" borderId="20" xfId="0" applyNumberFormat="1" applyFont="1" applyFill="1" applyBorder="1" applyAlignment="1">
      <alignment horizontal="right" vertical="center"/>
    </xf>
    <xf numFmtId="4" fontId="13" fillId="13" borderId="20" xfId="0" applyNumberFormat="1" applyFont="1" applyFill="1" applyBorder="1" applyAlignment="1" applyProtection="1">
      <alignment horizontal="center" vertical="center"/>
      <protection locked="0"/>
    </xf>
    <xf numFmtId="4" fontId="33" fillId="13" borderId="20" xfId="0" applyNumberFormat="1" applyFont="1" applyFill="1" applyBorder="1" applyAlignment="1">
      <alignment horizontal="right" vertical="center"/>
    </xf>
    <xf numFmtId="10" fontId="34" fillId="13" borderId="20" xfId="2" applyNumberFormat="1" applyFont="1" applyFill="1" applyBorder="1" applyAlignment="1" applyProtection="1">
      <alignment horizontal="center" vertical="center"/>
      <protection locked="0"/>
    </xf>
    <xf numFmtId="0" fontId="2" fillId="2" borderId="19" xfId="0" applyFont="1" applyFill="1" applyBorder="1" applyAlignment="1">
      <alignment horizontal="center" vertical="center"/>
    </xf>
    <xf numFmtId="0" fontId="27" fillId="11" borderId="19" xfId="0" applyFont="1" applyFill="1" applyBorder="1" applyAlignment="1" applyProtection="1">
      <alignment horizontal="center" vertical="center"/>
      <protection locked="0"/>
    </xf>
    <xf numFmtId="3" fontId="0" fillId="12" borderId="19" xfId="0" applyNumberFormat="1" applyFill="1" applyBorder="1" applyAlignment="1">
      <alignment horizontal="center" vertical="center"/>
    </xf>
    <xf numFmtId="0" fontId="2" fillId="13" borderId="20" xfId="0" applyFont="1" applyFill="1" applyBorder="1" applyAlignment="1">
      <alignment horizontal="center" vertical="center"/>
    </xf>
    <xf numFmtId="2" fontId="35" fillId="14" borderId="22" xfId="0" applyNumberFormat="1" applyFont="1" applyFill="1" applyBorder="1" applyAlignment="1">
      <alignment horizontal="right" vertical="center"/>
    </xf>
    <xf numFmtId="164" fontId="36" fillId="13" borderId="22" xfId="0" applyNumberFormat="1" applyFont="1" applyFill="1" applyBorder="1" applyAlignment="1">
      <alignment vertical="center"/>
    </xf>
    <xf numFmtId="4" fontId="0" fillId="13" borderId="20" xfId="0" applyNumberFormat="1" applyFill="1" applyBorder="1" applyAlignment="1" applyProtection="1">
      <alignment horizontal="center" vertical="center"/>
      <protection locked="0"/>
    </xf>
    <xf numFmtId="0" fontId="2" fillId="2" borderId="20" xfId="0" applyFont="1" applyFill="1" applyBorder="1" applyAlignment="1">
      <alignment horizontal="center" vertical="center"/>
    </xf>
    <xf numFmtId="3" fontId="0" fillId="13" borderId="20" xfId="0" applyNumberFormat="1" applyFill="1" applyBorder="1" applyAlignment="1" applyProtection="1">
      <alignment horizontal="center" vertical="center"/>
      <protection locked="0"/>
    </xf>
    <xf numFmtId="3" fontId="33" fillId="13" borderId="20" xfId="0" applyNumberFormat="1" applyFont="1" applyFill="1" applyBorder="1" applyAlignment="1">
      <alignment horizontal="right" vertical="center"/>
    </xf>
    <xf numFmtId="0" fontId="2" fillId="13" borderId="22" xfId="0" applyFont="1" applyFill="1" applyBorder="1" applyAlignment="1">
      <alignment horizontal="center" vertical="center"/>
    </xf>
    <xf numFmtId="44" fontId="0" fillId="13" borderId="20" xfId="0" applyNumberFormat="1" applyFill="1" applyBorder="1" applyAlignment="1" applyProtection="1">
      <alignment horizontal="center" vertical="center"/>
      <protection locked="0"/>
    </xf>
    <xf numFmtId="0" fontId="12" fillId="0" borderId="8" xfId="0" applyFont="1" applyBorder="1" applyAlignment="1">
      <alignment horizontal="right"/>
    </xf>
    <xf numFmtId="0" fontId="4" fillId="3" borderId="4" xfId="0" applyFont="1" applyFill="1" applyBorder="1" applyAlignment="1" applyProtection="1">
      <alignment horizontal="center" vertical="center" wrapText="1"/>
      <protection locked="0"/>
    </xf>
    <xf numFmtId="0" fontId="4" fillId="3" borderId="5" xfId="0" applyFont="1" applyFill="1" applyBorder="1" applyAlignment="1" applyProtection="1">
      <alignment horizontal="center" vertical="center" wrapText="1"/>
      <protection locked="0"/>
    </xf>
    <xf numFmtId="0" fontId="4" fillId="3" borderId="9" xfId="0" applyFont="1" applyFill="1" applyBorder="1" applyAlignment="1" applyProtection="1">
      <alignment horizontal="center" vertical="center" wrapText="1"/>
      <protection locked="0"/>
    </xf>
    <xf numFmtId="0" fontId="4" fillId="3" borderId="10" xfId="0" applyFont="1" applyFill="1" applyBorder="1" applyAlignment="1" applyProtection="1">
      <alignment horizontal="center" vertical="center" wrapText="1"/>
      <protection locked="0"/>
    </xf>
    <xf numFmtId="0" fontId="2" fillId="3" borderId="9" xfId="0" applyFont="1" applyFill="1" applyBorder="1" applyAlignment="1" applyProtection="1">
      <alignment horizontal="center" vertical="center" wrapText="1"/>
      <protection locked="0"/>
    </xf>
    <xf numFmtId="0" fontId="2" fillId="3" borderId="10" xfId="0" applyFont="1" applyFill="1" applyBorder="1" applyAlignment="1" applyProtection="1">
      <alignment horizontal="center" vertical="center" wrapText="1"/>
      <protection locked="0"/>
    </xf>
    <xf numFmtId="4" fontId="16" fillId="4" borderId="14" xfId="0" applyNumberFormat="1" applyFont="1" applyFill="1" applyBorder="1" applyAlignment="1">
      <alignment horizontal="center" vertical="center"/>
    </xf>
    <xf numFmtId="4" fontId="16" fillId="4" borderId="17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right" wrapText="1"/>
    </xf>
    <xf numFmtId="0" fontId="7" fillId="2" borderId="0" xfId="0" applyFont="1" applyFill="1" applyAlignment="1">
      <alignment horizontal="right" wrapText="1"/>
    </xf>
    <xf numFmtId="0" fontId="8" fillId="2" borderId="0" xfId="0" applyFont="1" applyFill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</cellXfs>
  <cellStyles count="3">
    <cellStyle name="Normalny" xfId="0" builtinId="0"/>
    <cellStyle name="Procentowy" xfId="2" builtinId="5"/>
    <cellStyle name="Walutowy" xfId="1" builtinId="4"/>
  </cellStyles>
  <dxfs count="51">
    <dxf>
      <font>
        <color theme="1"/>
      </font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0_OPTIMAL_SYSTEM_Kalkulator_Optimal_110_WRZESIE&#323;_2025_v_1.19.xlsx" TargetMode="External"/><Relationship Id="rId2" Type="http://schemas.openxmlformats.org/officeDocument/2006/relationships/externalLinkPath" Target="file:///C:\Users\Admin\Desktop\michau\00_OPTIMAL_SYSTEM_Kalkulator_Optimal_110_WRZESIE&#323;_2025_v_1.19.xlsx" TargetMode="External"/><Relationship Id="rId1" Type="http://schemas.openxmlformats.org/officeDocument/2006/relationships/externalLinkPath" Target="/Users/Admin/Desktop/michau/00_OPTIMAL_SYSTEM_Kalkulator_Optimal_110_WRZESIE&#323;_2025_v_1.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LKULATOR"/>
      <sheetName val="Tory"/>
      <sheetName val="IE"/>
      <sheetName val="NE"/>
      <sheetName val="TE"/>
      <sheetName val="SE"/>
      <sheetName val="DE"/>
      <sheetName val="DE2"/>
      <sheetName val="Montaż"/>
      <sheetName val="ilość MODUŁÓW"/>
      <sheetName val="Narzuty"/>
      <sheetName val="Rozliczenie montażu"/>
      <sheetName val="DANE"/>
      <sheetName val="Profile ALU"/>
      <sheetName val="Sierżanty"/>
      <sheetName val="Stal"/>
      <sheetName val="Uszczelki"/>
      <sheetName val="Normalia"/>
      <sheetName val="Sprężyny"/>
      <sheetName val="PA"/>
      <sheetName val="Uslugi"/>
      <sheetName val="Akcesoria I Etap"/>
      <sheetName val="Wózki"/>
      <sheetName val="Pozostałe O50"/>
      <sheetName val="Pozostałe NE"/>
      <sheetName val="Wypełnienia"/>
      <sheetName val="Obrzeża"/>
      <sheetName val="FIRE"/>
      <sheetName val="SUBIEKT"/>
    </sheetNames>
    <sheetDataSet>
      <sheetData sheetId="0" refreshError="1"/>
      <sheetData sheetId="1">
        <row r="21">
          <cell r="F21">
            <v>0</v>
          </cell>
          <cell r="H21">
            <v>0</v>
          </cell>
          <cell r="J21">
            <v>0</v>
          </cell>
          <cell r="L21">
            <v>0</v>
          </cell>
          <cell r="N21">
            <v>0</v>
          </cell>
          <cell r="P21">
            <v>0</v>
          </cell>
          <cell r="R21">
            <v>0</v>
          </cell>
          <cell r="T21">
            <v>0</v>
          </cell>
          <cell r="V21">
            <v>0</v>
          </cell>
          <cell r="X21">
            <v>0</v>
          </cell>
        </row>
        <row r="22">
          <cell r="F22">
            <v>0</v>
          </cell>
          <cell r="H22">
            <v>0</v>
          </cell>
          <cell r="J22">
            <v>0</v>
          </cell>
          <cell r="L22">
            <v>0</v>
          </cell>
          <cell r="N22">
            <v>0</v>
          </cell>
          <cell r="P22">
            <v>0</v>
          </cell>
          <cell r="R22">
            <v>0</v>
          </cell>
          <cell r="T22">
            <v>0</v>
          </cell>
          <cell r="V22">
            <v>0</v>
          </cell>
          <cell r="X22">
            <v>0</v>
          </cell>
        </row>
        <row r="24">
          <cell r="F24">
            <v>0</v>
          </cell>
          <cell r="H24">
            <v>0</v>
          </cell>
          <cell r="J24">
            <v>0</v>
          </cell>
          <cell r="L24">
            <v>0</v>
          </cell>
          <cell r="N24">
            <v>0</v>
          </cell>
          <cell r="P24">
            <v>0</v>
          </cell>
          <cell r="R24">
            <v>0</v>
          </cell>
          <cell r="T24">
            <v>0</v>
          </cell>
          <cell r="V24">
            <v>0</v>
          </cell>
          <cell r="X24">
            <v>0</v>
          </cell>
        </row>
        <row r="25">
          <cell r="F25">
            <v>0</v>
          </cell>
          <cell r="H25">
            <v>0</v>
          </cell>
          <cell r="J25">
            <v>0</v>
          </cell>
          <cell r="L25">
            <v>0</v>
          </cell>
          <cell r="N25">
            <v>0</v>
          </cell>
          <cell r="P25">
            <v>0</v>
          </cell>
          <cell r="R25">
            <v>0</v>
          </cell>
          <cell r="T25">
            <v>0</v>
          </cell>
          <cell r="V25">
            <v>0</v>
          </cell>
          <cell r="X25">
            <v>0</v>
          </cell>
        </row>
        <row r="27">
          <cell r="F27">
            <v>0</v>
          </cell>
          <cell r="H27">
            <v>0</v>
          </cell>
          <cell r="J27">
            <v>0</v>
          </cell>
          <cell r="L27">
            <v>0</v>
          </cell>
          <cell r="N27">
            <v>0</v>
          </cell>
          <cell r="P27">
            <v>0</v>
          </cell>
          <cell r="R27">
            <v>0</v>
          </cell>
          <cell r="T27">
            <v>0</v>
          </cell>
          <cell r="V27">
            <v>0</v>
          </cell>
          <cell r="X27">
            <v>0</v>
          </cell>
        </row>
      </sheetData>
      <sheetData sheetId="2">
        <row r="52">
          <cell r="F52">
            <v>0</v>
          </cell>
          <cell r="H52">
            <v>0</v>
          </cell>
          <cell r="J52">
            <v>0</v>
          </cell>
          <cell r="L52">
            <v>0</v>
          </cell>
          <cell r="N52">
            <v>0</v>
          </cell>
          <cell r="P52">
            <v>0</v>
          </cell>
          <cell r="R52">
            <v>0</v>
          </cell>
          <cell r="T52">
            <v>0</v>
          </cell>
          <cell r="V52">
            <v>0</v>
          </cell>
          <cell r="X52">
            <v>0</v>
          </cell>
        </row>
        <row r="53">
          <cell r="F53">
            <v>0</v>
          </cell>
          <cell r="H53">
            <v>0</v>
          </cell>
          <cell r="J53">
            <v>0</v>
          </cell>
          <cell r="L53">
            <v>0</v>
          </cell>
          <cell r="N53">
            <v>0</v>
          </cell>
          <cell r="P53">
            <v>0</v>
          </cell>
          <cell r="R53">
            <v>0</v>
          </cell>
          <cell r="T53">
            <v>0</v>
          </cell>
          <cell r="V53">
            <v>0</v>
          </cell>
          <cell r="X53">
            <v>0</v>
          </cell>
        </row>
      </sheetData>
      <sheetData sheetId="3">
        <row r="56">
          <cell r="F56">
            <v>0</v>
          </cell>
          <cell r="H56">
            <v>0</v>
          </cell>
          <cell r="J56">
            <v>0</v>
          </cell>
          <cell r="L56">
            <v>0</v>
          </cell>
          <cell r="N56">
            <v>0</v>
          </cell>
          <cell r="P56">
            <v>0</v>
          </cell>
          <cell r="R56">
            <v>0</v>
          </cell>
          <cell r="T56">
            <v>0</v>
          </cell>
          <cell r="V56">
            <v>0</v>
          </cell>
          <cell r="X56">
            <v>0</v>
          </cell>
        </row>
        <row r="57">
          <cell r="F57">
            <v>0</v>
          </cell>
          <cell r="H57">
            <v>0</v>
          </cell>
          <cell r="J57">
            <v>0</v>
          </cell>
          <cell r="L57">
            <v>0</v>
          </cell>
          <cell r="N57">
            <v>0</v>
          </cell>
          <cell r="P57">
            <v>0</v>
          </cell>
          <cell r="R57">
            <v>0</v>
          </cell>
          <cell r="T57">
            <v>0</v>
          </cell>
          <cell r="V57">
            <v>0</v>
          </cell>
          <cell r="X57">
            <v>0</v>
          </cell>
        </row>
      </sheetData>
      <sheetData sheetId="4">
        <row r="55">
          <cell r="F55">
            <v>0</v>
          </cell>
          <cell r="H55">
            <v>0</v>
          </cell>
          <cell r="J55">
            <v>0</v>
          </cell>
          <cell r="L55">
            <v>0</v>
          </cell>
          <cell r="N55">
            <v>0</v>
          </cell>
          <cell r="P55">
            <v>0</v>
          </cell>
          <cell r="R55">
            <v>0</v>
          </cell>
          <cell r="T55">
            <v>0</v>
          </cell>
          <cell r="V55">
            <v>0</v>
          </cell>
          <cell r="X55">
            <v>0</v>
          </cell>
        </row>
        <row r="56">
          <cell r="F56">
            <v>0</v>
          </cell>
          <cell r="H56">
            <v>0</v>
          </cell>
          <cell r="J56">
            <v>0</v>
          </cell>
          <cell r="L56">
            <v>0</v>
          </cell>
          <cell r="N56">
            <v>0</v>
          </cell>
          <cell r="P56">
            <v>0</v>
          </cell>
          <cell r="R56">
            <v>0</v>
          </cell>
          <cell r="T56">
            <v>0</v>
          </cell>
          <cell r="V56">
            <v>0</v>
          </cell>
          <cell r="X56">
            <v>0</v>
          </cell>
        </row>
      </sheetData>
      <sheetData sheetId="5">
        <row r="40">
          <cell r="F40">
            <v>0</v>
          </cell>
          <cell r="H40">
            <v>0</v>
          </cell>
          <cell r="J40">
            <v>0</v>
          </cell>
          <cell r="L40">
            <v>0</v>
          </cell>
          <cell r="N40">
            <v>0</v>
          </cell>
          <cell r="P40">
            <v>0</v>
          </cell>
          <cell r="R40">
            <v>0</v>
          </cell>
          <cell r="T40">
            <v>0</v>
          </cell>
          <cell r="V40">
            <v>0</v>
          </cell>
          <cell r="X40">
            <v>0</v>
          </cell>
        </row>
        <row r="41">
          <cell r="F41">
            <v>0</v>
          </cell>
          <cell r="H41">
            <v>0</v>
          </cell>
          <cell r="J41">
            <v>0</v>
          </cell>
          <cell r="L41">
            <v>0</v>
          </cell>
          <cell r="N41">
            <v>0</v>
          </cell>
          <cell r="P41">
            <v>0</v>
          </cell>
          <cell r="R41">
            <v>0</v>
          </cell>
          <cell r="T41">
            <v>0</v>
          </cell>
          <cell r="V41">
            <v>0</v>
          </cell>
          <cell r="X41">
            <v>0</v>
          </cell>
        </row>
      </sheetData>
      <sheetData sheetId="6">
        <row r="51">
          <cell r="F51">
            <v>0</v>
          </cell>
          <cell r="H51">
            <v>0</v>
          </cell>
          <cell r="J51">
            <v>0</v>
          </cell>
          <cell r="L51">
            <v>0</v>
          </cell>
          <cell r="N51">
            <v>0</v>
          </cell>
          <cell r="P51">
            <v>0</v>
          </cell>
          <cell r="R51">
            <v>0</v>
          </cell>
          <cell r="T51">
            <v>0</v>
          </cell>
          <cell r="V51">
            <v>0</v>
          </cell>
          <cell r="X51">
            <v>0</v>
          </cell>
        </row>
        <row r="52">
          <cell r="F52">
            <v>0</v>
          </cell>
          <cell r="H52">
            <v>0</v>
          </cell>
          <cell r="J52">
            <v>0</v>
          </cell>
          <cell r="L52">
            <v>0</v>
          </cell>
          <cell r="N52">
            <v>0</v>
          </cell>
          <cell r="P52">
            <v>0</v>
          </cell>
          <cell r="R52">
            <v>0</v>
          </cell>
          <cell r="T52">
            <v>0</v>
          </cell>
          <cell r="V52">
            <v>0</v>
          </cell>
          <cell r="X52">
            <v>0</v>
          </cell>
        </row>
      </sheetData>
      <sheetData sheetId="7">
        <row r="51">
          <cell r="F51">
            <v>0</v>
          </cell>
          <cell r="H51">
            <v>0</v>
          </cell>
          <cell r="J51">
            <v>0</v>
          </cell>
          <cell r="L51">
            <v>0</v>
          </cell>
          <cell r="N51">
            <v>0</v>
          </cell>
          <cell r="P51">
            <v>0</v>
          </cell>
          <cell r="R51">
            <v>0</v>
          </cell>
          <cell r="T51">
            <v>0</v>
          </cell>
          <cell r="V51">
            <v>0</v>
          </cell>
          <cell r="X51">
            <v>0</v>
          </cell>
        </row>
        <row r="52">
          <cell r="F52">
            <v>0</v>
          </cell>
          <cell r="H52">
            <v>0</v>
          </cell>
          <cell r="J52">
            <v>0</v>
          </cell>
          <cell r="L52">
            <v>0</v>
          </cell>
          <cell r="N52">
            <v>0</v>
          </cell>
          <cell r="P52">
            <v>0</v>
          </cell>
          <cell r="R52">
            <v>0</v>
          </cell>
          <cell r="T52">
            <v>0</v>
          </cell>
          <cell r="V52">
            <v>0</v>
          </cell>
          <cell r="X52">
            <v>0</v>
          </cell>
        </row>
      </sheetData>
      <sheetData sheetId="8">
        <row r="23">
          <cell r="E23">
            <v>0</v>
          </cell>
          <cell r="G23">
            <v>0</v>
          </cell>
          <cell r="I23">
            <v>0</v>
          </cell>
          <cell r="K23">
            <v>0</v>
          </cell>
          <cell r="M23">
            <v>0</v>
          </cell>
          <cell r="O23">
            <v>0</v>
          </cell>
          <cell r="Q23">
            <v>0</v>
          </cell>
          <cell r="S23">
            <v>0</v>
          </cell>
          <cell r="U23">
            <v>0</v>
          </cell>
          <cell r="W23">
            <v>0</v>
          </cell>
        </row>
        <row r="24">
          <cell r="E24">
            <v>0</v>
          </cell>
          <cell r="G24">
            <v>0</v>
          </cell>
          <cell r="I24">
            <v>0</v>
          </cell>
          <cell r="K24">
            <v>0</v>
          </cell>
          <cell r="M24">
            <v>0</v>
          </cell>
          <cell r="O24">
            <v>0</v>
          </cell>
          <cell r="Q24">
            <v>0</v>
          </cell>
          <cell r="S24">
            <v>0</v>
          </cell>
          <cell r="U24">
            <v>0</v>
          </cell>
          <cell r="W24">
            <v>0</v>
          </cell>
        </row>
        <row r="25">
          <cell r="E25">
            <v>0</v>
          </cell>
          <cell r="G25">
            <v>0</v>
          </cell>
          <cell r="I25">
            <v>0</v>
          </cell>
          <cell r="K25">
            <v>0</v>
          </cell>
          <cell r="M25">
            <v>0</v>
          </cell>
          <cell r="O25">
            <v>0</v>
          </cell>
          <cell r="Q25">
            <v>0</v>
          </cell>
          <cell r="S25">
            <v>0</v>
          </cell>
          <cell r="U25">
            <v>0</v>
          </cell>
          <cell r="W25">
            <v>0</v>
          </cell>
        </row>
      </sheetData>
      <sheetData sheetId="9">
        <row r="15"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</row>
      </sheetData>
      <sheetData sheetId="10">
        <row r="39">
          <cell r="C39">
            <v>0.09</v>
          </cell>
        </row>
        <row r="59">
          <cell r="C59">
            <v>0.3</v>
          </cell>
        </row>
      </sheetData>
      <sheetData sheetId="11" refreshError="1"/>
      <sheetData sheetId="12">
        <row r="43">
          <cell r="B43" t="str">
            <v>ESG 8 mm</v>
          </cell>
        </row>
        <row r="44">
          <cell r="B44" t="str">
            <v>33.1</v>
          </cell>
        </row>
        <row r="45">
          <cell r="B45" t="str">
            <v>44.2</v>
          </cell>
        </row>
        <row r="46">
          <cell r="B46" t="str">
            <v>wewn. bez wypełnień</v>
          </cell>
        </row>
        <row r="47">
          <cell r="B47" t="str">
            <v>zewn. bez wypełnień</v>
          </cell>
        </row>
        <row r="52">
          <cell r="B52" t="str">
            <v>---</v>
          </cell>
        </row>
        <row r="53">
          <cell r="B53" t="str">
            <v>TAK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dmin_2" id="{E0BCCE78-69C0-476C-B0CE-F418BDC37C39}" userId="S::admin_2@EuroplastSWiesyk.onmicrosoft.com::a1f51334-1ad3-49c3-8262-d51c112e568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3" dT="2024-04-10T07:05:58.65" personId="{E0BCCE78-69C0-476C-B0CE-F418BDC37C39}" id="{8C86D807-D46F-4CAC-BBE9-D7B142D8DCAB}">
    <text>TAK = YES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5"/>
  <sheetViews>
    <sheetView tabSelected="1" topLeftCell="E1" zoomScaleNormal="100" workbookViewId="0">
      <selection activeCell="K14" sqref="K14"/>
    </sheetView>
  </sheetViews>
  <sheetFormatPr defaultRowHeight="14.4" x14ac:dyDescent="0.3"/>
  <cols>
    <col min="16" max="16" width="28.109375" customWidth="1"/>
  </cols>
  <sheetData>
    <row r="1" spans="1:32" ht="36.6" thickBot="1" x14ac:dyDescent="0.35">
      <c r="A1" s="76" t="str">
        <f>IF(A2="EN","Język","Language")</f>
        <v>Language</v>
      </c>
      <c r="B1" s="77"/>
      <c r="C1" s="78" t="str">
        <f>IF(A2="EN","Calculator - Movable walls Optimal 110","Kalkulator - Ściany mobilne
Optimal 110")</f>
        <v>Kalkulator - Ściany mobilne
Optimal 110</v>
      </c>
      <c r="D1" s="78"/>
      <c r="E1" s="78"/>
      <c r="F1" s="79"/>
      <c r="G1" s="79"/>
      <c r="H1" s="79"/>
      <c r="I1" s="79"/>
      <c r="J1" s="79"/>
      <c r="K1" s="79"/>
      <c r="L1" s="79"/>
      <c r="M1" s="79"/>
      <c r="N1" s="79"/>
      <c r="O1" s="79"/>
      <c r="P1" s="80" t="s">
        <v>0</v>
      </c>
      <c r="Q1" s="81"/>
      <c r="R1" s="82" t="str">
        <f>IF(AD28&gt;0,IF(AD28&lt;15001,"Mała wartość zamówienia!! Pamiętaj o DOPŁACIE!",""),"")</f>
        <v/>
      </c>
      <c r="S1" s="82"/>
      <c r="T1" s="83"/>
      <c r="U1" s="84" t="str">
        <f>IF(A2="EN","LOW VALUE","NISKA WARTOŚĆ")</f>
        <v>NISKA WARTOŚĆ</v>
      </c>
      <c r="V1" s="85"/>
      <c r="W1" s="1" t="str">
        <f>IF(A2="EN","ENTER KM","WPISZ KM!")</f>
        <v>WPISZ KM!</v>
      </c>
      <c r="X1" s="86" t="str">
        <f>IF(A2="EN","HEAVY TRACK / ROLLERS","CIĘŻKI TOR / WÓZKI")</f>
        <v>CIĘŻKI TOR / WÓZKI</v>
      </c>
      <c r="Y1" s="2" t="str">
        <f>IF(A2="EN","Currency","WALUTA")</f>
        <v>WALUTA</v>
      </c>
      <c r="Z1" s="3"/>
      <c r="AA1" s="3"/>
      <c r="AB1" s="3"/>
      <c r="AC1" s="3"/>
      <c r="AD1" s="67" t="str">
        <f>IF(A2="EN","Before discount","przed rabatem")</f>
        <v>przed rabatem</v>
      </c>
      <c r="AE1" s="67"/>
      <c r="AF1" s="4">
        <f>ROUND(AD6,0)+ROUND(AD8,0)+ROUND(AD10,0)+ROUND(AD12,0)+ROUND(AD14,0)+ROUND(AD16,0)+ROUND(AD18,0)+ROUND(AD20,0)+ROUND(AD22,0)+ROUND(AD24,0)+ROUND(AE6,0)+ROUND(AE8,0)+ROUND(AE10,0)+ROUND(AE12,0)+ROUND(AE14,0)+ROUND(AE16,0)+ROUND(AE18,0)+ROUND(AE20,0)+ROUND(AE22,0)+ROUND(AE24,0)+W3</f>
        <v>0</v>
      </c>
    </row>
    <row r="2" spans="1:32" ht="16.2" thickBot="1" x14ac:dyDescent="0.35">
      <c r="A2" s="68" t="s">
        <v>1</v>
      </c>
      <c r="B2" s="6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81"/>
      <c r="Q2" s="81"/>
      <c r="R2" s="82"/>
      <c r="S2" s="82"/>
      <c r="T2" s="83"/>
      <c r="U2" s="72" t="s">
        <v>2</v>
      </c>
      <c r="V2" s="73"/>
      <c r="W2" s="5">
        <v>0</v>
      </c>
      <c r="X2" s="87"/>
      <c r="Y2" s="6">
        <f>IF(Y3="eur",4.2,1)</f>
        <v>4.2</v>
      </c>
      <c r="Z2" s="7"/>
      <c r="AA2" s="7"/>
      <c r="AB2" s="7"/>
      <c r="AC2" s="7"/>
      <c r="AD2" s="8"/>
      <c r="AE2" s="9" t="str">
        <f>IF(A2="EN","Discount","RABAT")</f>
        <v>RABAT</v>
      </c>
      <c r="AF2" s="74">
        <f>AF6+AF8+AF10+AF12+AF14+AF16+AF18+AF20+AF22+AF24+W3</f>
        <v>0</v>
      </c>
    </row>
    <row r="3" spans="1:32" ht="21.6" thickBot="1" x14ac:dyDescent="0.35">
      <c r="A3" s="70"/>
      <c r="B3" s="71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81"/>
      <c r="Q3" s="81"/>
      <c r="R3" s="10"/>
      <c r="S3" s="11"/>
      <c r="T3" s="11"/>
      <c r="U3" s="12" t="str">
        <f>IF(A2="EN","SURCHARGE","DOPŁATA")</f>
        <v>DOPŁATA</v>
      </c>
      <c r="V3" s="13">
        <f>IF(U2="&lt; 10.000 zł",0.15,IF(U2="10.001 zł - 15.000 zł",0.1,0))</f>
        <v>0</v>
      </c>
      <c r="W3" s="14">
        <f>W2*4.5</f>
        <v>0</v>
      </c>
      <c r="X3" s="15" t="s">
        <v>3</v>
      </c>
      <c r="Y3" s="16" t="s">
        <v>4</v>
      </c>
      <c r="Z3" s="17"/>
      <c r="AA3" s="17"/>
      <c r="AB3" s="18"/>
      <c r="AC3" s="18"/>
      <c r="AD3" s="19"/>
      <c r="AE3" s="20">
        <f>AF2-AF1</f>
        <v>0</v>
      </c>
      <c r="AF3" s="75"/>
    </row>
    <row r="4" spans="1:32" ht="55.2" x14ac:dyDescent="0.3">
      <c r="A4" s="21"/>
      <c r="B4" s="21" t="str">
        <f>IF(A2="EN","Floor","Piętro")</f>
        <v>Piętro</v>
      </c>
      <c r="C4" s="22" t="str">
        <f>IF(A2="EN","No. of walls","Liczba ścian")</f>
        <v>Liczba ścian</v>
      </c>
      <c r="D4" s="22" t="str">
        <f>IF(A2="EN","Night works I","Prace nocne ETAP I")</f>
        <v>Prace nocne ETAP I</v>
      </c>
      <c r="E4" s="22" t="str">
        <f>IF(A2="EN","Night works II","Prace nocne ETAP II")</f>
        <v>Prace nocne ETAP II</v>
      </c>
      <c r="F4" s="22" t="str">
        <f>IF(A2="EN"," L 
lenght","L
długość")</f>
        <v>L
długość</v>
      </c>
      <c r="G4" s="22" t="str">
        <f>IF(A2="EN","H 
height","H
wysokość")</f>
        <v>H
wysokość</v>
      </c>
      <c r="H4" s="22" t="str">
        <f>IF(A2="EN","Parking system","Parkowanie")</f>
        <v>Parkowanie</v>
      </c>
      <c r="I4" s="22" t="s">
        <v>5</v>
      </c>
      <c r="J4" s="22" t="str">
        <f>IF(A2="EN","Acoustics dB","Akustyka
dB")</f>
        <v>Akustyka
dB</v>
      </c>
      <c r="K4" s="22" t="str">
        <f>IF(A2="EN","Flammability class","Klasa palności")</f>
        <v>Klasa palności</v>
      </c>
      <c r="L4" s="23" t="str">
        <f>IF(A2="EN","Concealed profiles","Ukryte krawędzie")</f>
        <v>Ukryte krawędzie</v>
      </c>
      <c r="M4" s="24" t="str">
        <f>IF(A2="EN","Module width over 1000 mm","Szeroki moduł")</f>
        <v>Szeroki moduł</v>
      </c>
      <c r="N4" s="25" t="str">
        <f>IF(A2="EN","No. mod","Lmod
razem")</f>
        <v>Lmod
razem</v>
      </c>
      <c r="O4" s="25" t="str">
        <f>IF(A2="EN","Track colour","Kolor toru")</f>
        <v>Kolor toru</v>
      </c>
      <c r="P4" s="22" t="str">
        <f>IF(A2="EN","Finishing panels","Rodzaj płyty")</f>
        <v>Rodzaj płyty</v>
      </c>
      <c r="Q4" s="25" t="str">
        <f>IF(A2="EN","No. Mod 
NE + TE","Lmod
płyty
NE + TE")</f>
        <v>Lmod
płyty
NE + TE</v>
      </c>
      <c r="R4" s="25" t="str">
        <f>IF(A2="EN","Glass 
max H=3150","Szkło
max H=3150")</f>
        <v>Szkło
max H=3150</v>
      </c>
      <c r="S4" s="25" t="str">
        <f>IF(A2="EN","No. Mod
 Glass 
SE","Lmod
szkło
SE")</f>
        <v>Lmod
szkło
SE</v>
      </c>
      <c r="T4" s="25" t="str">
        <f>IF(A2="EN","Single 
doors
DE","Drzwi
1-skrz
DE")</f>
        <v>Drzwi
1-skrz
DE</v>
      </c>
      <c r="U4" s="25" t="str">
        <f>IF(A2="EN","Double doors DE","Drzwi 
2-skrz
DE2S")</f>
        <v>Drzwi 
2-skrz
DE2S</v>
      </c>
      <c r="V4" s="25" t="str">
        <f>IF(A2="EN","Semi-automatic","Półautomat")</f>
        <v>Półautomat</v>
      </c>
      <c r="W4" s="25" t="str">
        <f>IF(A2="EN","Additional track","Dodatkowy tor")</f>
        <v>Dodatkowy tor</v>
      </c>
      <c r="X4" s="25" t="str">
        <f>IF(A2="EN","Suspension distance
max 2000","Obniżenie
max. 2000")</f>
        <v>Obniżenie
max. 2000</v>
      </c>
      <c r="Y4" s="25" t="str">
        <f>IF(A2="EN","Power coated profiles","Lakierowane profile")</f>
        <v>Lakierowane profile</v>
      </c>
      <c r="Z4" s="25" t="str">
        <f>IF(A2="EN","Additional parkings","Dodatkowe stosy parkowania")</f>
        <v>Dodatkowe stosy parkowania</v>
      </c>
      <c r="AA4" s="25" t="str">
        <f>IF(A2="EN","Additional parking lenght","Długość dodatkowego parkingu")</f>
        <v>Długość dodatkowego parkingu</v>
      </c>
      <c r="AB4" s="22" t="str">
        <f>IF(A2="EN","∑
Modules",
"∑
Moduły")</f>
        <v>∑
Moduły</v>
      </c>
      <c r="AC4" s="22" t="str">
        <f>IF(B2="EN","∑
Tracks",
"∑
Tory")</f>
        <v>∑
Tory</v>
      </c>
      <c r="AD4" s="22" t="str">
        <f>IF(A2="EN","∑ 
Wall with track","∑
Ściana z torem")</f>
        <v>∑
Ściana z torem</v>
      </c>
      <c r="AE4" s="22" t="str">
        <f>IF(A2="EN","Installation","Montaż
I i II etap")</f>
        <v>Montaż
I i II etap</v>
      </c>
      <c r="AF4" s="22" t="s">
        <v>6</v>
      </c>
    </row>
    <row r="5" spans="1:32" ht="30.6" x14ac:dyDescent="0.3">
      <c r="A5" s="26"/>
      <c r="B5" s="26" t="s">
        <v>7</v>
      </c>
      <c r="C5" s="26" t="s">
        <v>7</v>
      </c>
      <c r="D5" s="26" t="s">
        <v>8</v>
      </c>
      <c r="E5" s="26" t="s">
        <v>8</v>
      </c>
      <c r="F5" s="26" t="s">
        <v>9</v>
      </c>
      <c r="G5" s="27" t="s">
        <v>9</v>
      </c>
      <c r="H5" s="26" t="s">
        <v>10</v>
      </c>
      <c r="I5" s="26" t="s">
        <v>11</v>
      </c>
      <c r="J5" s="28" t="s">
        <v>12</v>
      </c>
      <c r="K5" s="28" t="str">
        <f>IF(A2="EN","[0 - STANDARD; 
1 - FIRE RETARDANT; EI]","[0 - STP III; 
1 - NRO; EI]")</f>
        <v>[0 - STP III; 
1 - NRO; EI]</v>
      </c>
      <c r="L5" s="26" t="s">
        <v>8</v>
      </c>
      <c r="M5" s="26" t="s">
        <v>8</v>
      </c>
      <c r="N5" s="26" t="s">
        <v>13</v>
      </c>
      <c r="O5" s="28" t="str">
        <f>IF(A2="EN","[0 - raw; 1 - 9010; 2 - diffrent]", "[0 - surowy; 1 - 9010; 2 - inny]")</f>
        <v>[0 - surowy; 1 - 9010; 2 - inny]</v>
      </c>
      <c r="P5" s="26" t="s">
        <v>13</v>
      </c>
      <c r="Q5" s="26" t="s">
        <v>14</v>
      </c>
      <c r="R5" s="26" t="s">
        <v>13</v>
      </c>
      <c r="S5" s="26" t="s">
        <v>11</v>
      </c>
      <c r="T5" s="26" t="s">
        <v>11</v>
      </c>
      <c r="U5" s="26" t="s">
        <v>11</v>
      </c>
      <c r="V5" s="26" t="s">
        <v>8</v>
      </c>
      <c r="W5" s="26" t="s">
        <v>9</v>
      </c>
      <c r="X5" s="26" t="s">
        <v>9</v>
      </c>
      <c r="Y5" s="26" t="s">
        <v>8</v>
      </c>
      <c r="Z5" s="26" t="s">
        <v>15</v>
      </c>
      <c r="AA5" s="26" t="s">
        <v>9</v>
      </c>
      <c r="AB5" s="26" t="str">
        <f>IF(Y3="EUR","[EUR]","[PLN]")</f>
        <v>[EUR]</v>
      </c>
      <c r="AC5" s="26" t="str">
        <f>IF(AB3="EUR","[EUR]","[PLN]")</f>
        <v>[PLN]</v>
      </c>
      <c r="AD5" s="26" t="str">
        <f>IF(Y3="EUR","[EUR]","[PLN]")</f>
        <v>[EUR]</v>
      </c>
      <c r="AE5" s="26" t="str">
        <f>IF(Y3="EUR","[EUR]","[PLN]")</f>
        <v>[EUR]</v>
      </c>
      <c r="AF5" s="26" t="str">
        <f>IF(Y3="EUR","[EUR]","[PLN]")</f>
        <v>[EUR]</v>
      </c>
    </row>
    <row r="6" spans="1:32" x14ac:dyDescent="0.3">
      <c r="A6" s="29">
        <v>1</v>
      </c>
      <c r="B6" s="30"/>
      <c r="C6" s="30"/>
      <c r="D6" s="30"/>
      <c r="E6" s="30"/>
      <c r="F6" s="30">
        <v>8000</v>
      </c>
      <c r="G6" s="30">
        <v>2800</v>
      </c>
      <c r="H6" s="31" t="s">
        <v>17</v>
      </c>
      <c r="I6" s="30"/>
      <c r="J6" s="32">
        <v>49</v>
      </c>
      <c r="K6" s="32"/>
      <c r="L6" s="33">
        <v>1</v>
      </c>
      <c r="M6" s="34"/>
      <c r="N6" s="35">
        <v>7</v>
      </c>
      <c r="O6" s="36">
        <v>1</v>
      </c>
      <c r="P6" s="34"/>
      <c r="Q6" s="35">
        <f>N6-S6-T6-U6</f>
        <v>6</v>
      </c>
      <c r="R6" s="37"/>
      <c r="S6" s="34"/>
      <c r="T6" s="34">
        <v>1</v>
      </c>
      <c r="U6" s="34"/>
      <c r="V6" s="34"/>
      <c r="W6" s="34"/>
      <c r="X6" s="34"/>
      <c r="Y6" s="34">
        <v>1</v>
      </c>
      <c r="Z6" s="34">
        <v>0</v>
      </c>
      <c r="AA6" s="34">
        <v>0</v>
      </c>
      <c r="AB6" s="38">
        <f>[1]Montaż!E24+M36+([1]Narzuty!$C$39+1)*IF(Y3="eur",
                               IF(J6="EI",
                                          (((AD7+([1]IE!F52+[1]IE!F53+[1]NE!F56+[1]NE!F57+[1]TE!F55+[1]TE!F56+[1]SE!F40+[1]SE!F41+[1]DE!F51+[1]DE!F52+[1]DE2!F51+[1]DE2!F52)*(1+[1]Narzuty!$C$59))/Y2))*C6*IF(P6="BEZ PŁYT",(1+10%),1),
                                           (([1]IE!F52+[1]IE!F53+[1]NE!F56+[1]NE!F57+[1]TE!F55+[1]TE!F56+[1]SE!F40+[1]SE!F41+[1]DE!F51+[1]DE!F52+[1]DE2!F51+[1]DE2!F52+AD7)/Y2)*C6*IF(P6="BEZ PŁYT",(1+10%),1)),
                               IF(J6="EI",
                                             IF(V3&gt;0,
                                                        (AD7+([1]IE!F52+[1]IE!F53+[1]NE!F56+[1]NE!F57+[1]TE!F55+[1]TE!F56+[1]SE!F40+[1]SE!F41+[1]DE!F51+[1]DE!F52+[1]DE2!F51+[1]DE2!F52)*(1+[1]Narzuty!$C$59))*C6*(1+V3)*IF(P6="BEZ PŁYT",(1+10%),1),
                                                       (AD7+([1]IE!F52+[1]IE!F53+[1]NE!F56+[1]NE!F57+[1]TE!F55+[1]TE!F56+[1]SE!F40+[1]SE!F41+[1]DE!F51+[1]DE!F52+[1]DE2!F51+[1]DE2!F52)*(1+[1]Narzuty!$C$59))*C6)*IF(P6="BEZ PŁYT",(1+10%),1),
                                            IF(V3&gt;0,
                                                       ([1]IE!F52+[1]IE!F53+[1]NE!F56+[1]NE!F57+[1]TE!F55+[1]TE!F56+[1]SE!F40+[1]SE!F41+[1]DE!F51+[1]DE!F52+[1]DE2!F51+[1]DE2!F52+AD7)*C6*(1+V3)*IF(P6="BEZ PŁYT",(1+10%),1),
                                                      ([1]IE!F52+[1]IE!F53+[1]NE!F56+[1]NE!F57+[1]TE!F55+[1]TE!F56+[1]SE!F40+[1]SE!F41+[1]DE!F51+[1]DE!F52+[1]DE2!F51+[1]DE2!F52+AD7)*C6*IF(P6="BEZ PŁYT",(1+10%),1))))</f>
        <v>0</v>
      </c>
      <c r="AC6" s="38">
        <f>[1]Montaż!E23+F36+([1]Narzuty!$C$39+1)*IF(Y3="eur",
                               IF(J6="EI",
                                          (((AD7+([1]Tory!F21+[1]Tory!F22+[1]Tory!F24+[1]Tory!F25+[1]Tory!F27)*(1+[1]Narzuty!$C$59))/Y2))*C6*IF(P6="BEZ PŁYT",(1+10%),1),
                                           (([1]Tory!F21+[1]Tory!F22+[1]Tory!F24+[1]Tory!F25+[1]Tory!F27)/Y2)*C6*IF(P6="BEZ PŁYT",(1+10%),1)),
                               IF(J6="EI",
                                             IF(V3&gt;0,
                                                        (AD7+([1]Tory!F21+[1]Tory!F22+[1]Tory!F24+[1]Tory!F25+[1]Tory!F27)*(1+[1]Narzuty!$C$59))*C6*(1+V3)*IF(P6="BEZ PŁYT",(1+10%),1),
                                                       (AD7+([1]Tory!F21+[1]Tory!F22+[1]Tory!F24+[1]Tory!F25+[1]Tory!F27)*(1+[1]Narzuty!$C$59))*C6)*IF(P6="BEZ PŁYT",(1+10%),1),
                                            IF(V3&gt;0,
                                                       ([1]Tory!F21+[1]Tory!F22+[1]Tory!F24+[1]Tory!F25+[1]Tory!F27)*C6*(1+V3)*IF(P6="BEZ PŁYT",(1+10%),1),
                                                      ([1]Tory!F21+[1]Tory!F22+[1]Tory!F24+[1]Tory!F25+[1]Tory!F27)*C6*IF(P6="BEZ PŁYT",(1+10%),1))))</f>
        <v>0</v>
      </c>
      <c r="AD6" s="38">
        <f>([1]Montaż!E23+[1]Montaż!E24)+(F36+M36)+([1]Narzuty!$C$39+1)*IF(Y3="eur",
                               IF(J6="EI",
                                          (((AD7+([1]Tory!F21+[1]Tory!F22+[1]Tory!F24+[1]Tory!F25+[1]Tory!F27+[1]IE!F52+[1]IE!F53+[1]NE!F56+[1]NE!F57+[1]TE!F55+[1]TE!F56+[1]SE!F40+[1]SE!F41+[1]DE!F51+[1]DE!F52+[1]DE2!F51+[1]DE2!F52)*(1+[1]Narzuty!$C$59))/Y2))*C6*IF(P6="BEZ PŁYT",(1+10%),1),
                                           (([1]Tory!F21+[1]Tory!F22+[1]Tory!F24+[1]Tory!F25+[1]Tory!F27+[1]IE!F52+[1]IE!F53+[1]NE!F56+[1]NE!F57+[1]TE!F55+[1]TE!F56+[1]SE!F40+[1]SE!F41+[1]DE!F51+[1]DE!F52+[1]DE2!F51+[1]DE2!F52+AD7)/Y2)*C6*IF(P6="BEZ PŁYT",(1+10%),1)),
                               IF(J6="EI",
                                             IF(V3&gt;0,
                                                        (AD7+([1]Tory!F21+[1]Tory!F22+[1]Tory!F24+[1]Tory!F25+[1]Tory!F27+[1]IE!F52+[1]IE!F53+[1]NE!F56+[1]NE!F57+[1]TE!F55+[1]TE!F56+[1]SE!F40+[1]SE!F41+[1]DE!F51+[1]DE!F52+[1]DE2!F51+[1]DE2!F52)*(1+[1]Narzuty!$C$59))*C6*(1+V3)*IF(P6="BEZ PŁYT",(1+10%),1),
                                                       (AD7+([1]Tory!F21+[1]Tory!F22+[1]Tory!F24+[1]Tory!F25+[1]Tory!F27+[1]IE!F52+[1]IE!F53+[1]NE!F56+[1]NE!F57+[1]TE!F55+[1]TE!F56+[1]SE!F40+[1]SE!F41+[1]DE!F51+[1]DE!F52+[1]DE2!F51+[1]DE2!F52)*(1+[1]Narzuty!$C$59))*C6)*IF(P6="BEZ PŁYT",(1+10%),1),
                                            IF(V3&gt;0,
                                                       ([1]Tory!F21+[1]Tory!F22+[1]Tory!F24+[1]Tory!F25+[1]Tory!F27+[1]IE!F52+[1]IE!F53+[1]NE!F56+[1]NE!F57+[1]TE!F55+[1]TE!F56+[1]SE!F40+[1]SE!F41+[1]DE!F51+[1]DE!F52+[1]DE2!F51+[1]DE2!F52+AD7)*C6*(1+V3)*IF(P6="BEZ PŁYT",(1+10%),1),
                                                      ([1]Tory!F21+[1]Tory!F22+[1]Tory!F24+[1]Tory!F25+[1]Tory!F27+[1]IE!F52+[1]IE!F53+[1]NE!F56+[1]NE!F57+[1]TE!F55+[1]TE!F56+[1]SE!F40+[1]SE!F41+[1]DE!F51+[1]DE!F52+[1]DE2!F51+[1]DE2!F52+AD7)*C6*IF(P6="BEZ PŁYT",(1+10%),1))))</f>
        <v>0</v>
      </c>
      <c r="AE6" s="38">
        <f>IF(Y3="eur",0,[1]Montaż!E25)</f>
        <v>0</v>
      </c>
      <c r="AF6" s="39">
        <f>(ROUND(AD6,0)*(1-AF7)+ROUND(AE6,0))</f>
        <v>0</v>
      </c>
    </row>
    <row r="7" spans="1:32" x14ac:dyDescent="0.3">
      <c r="A7" s="40"/>
      <c r="B7" s="41"/>
      <c r="C7" s="42" t="str">
        <f>IF(G6&gt;=5000,IF(H6="j","!! Dla podanej wysokości wybierz parkowanie NPN",""),"")</f>
        <v/>
      </c>
      <c r="D7" s="42"/>
      <c r="E7" s="42"/>
      <c r="F7" s="43"/>
      <c r="G7" s="42"/>
      <c r="H7" s="44" t="s">
        <v>16</v>
      </c>
      <c r="I7" s="45">
        <f>IF(H6="j",0,IF(H6="npn",ROUNDUP(N6/8,0),0))</f>
        <v>1</v>
      </c>
      <c r="J7" s="46" t="str">
        <f>IF(J6=45,"",IF(J6=49,"",IF(J6=51,"",IF(J6=53,"",IF(J6=54,"",IF(J6="EI","",IF(J6="","","!! Podaj poprawną akustykę")))))))</f>
        <v/>
      </c>
      <c r="K7" s="46" t="str">
        <f>IF(J6="EI",IF(K6="EI","","!! Błędna klasa palności"),"")</f>
        <v/>
      </c>
      <c r="L7" s="46" t="str">
        <f>IF(AND(H6="npn",I6=0),"Podaj liczbę stosów!",IF(AND(H6="j",I6&gt;0),"Usuń liczbę stosów",""))</f>
        <v>Podaj liczbę stosów!</v>
      </c>
      <c r="M7" s="43"/>
      <c r="N7" s="47"/>
      <c r="O7" s="48"/>
      <c r="P7" s="34"/>
      <c r="Q7" s="49"/>
      <c r="R7" s="50" t="str">
        <f>IF(S6&gt;0,IF(G6&gt;3150,"Nie można zastosować szklanych modułów!",""),"")</f>
        <v/>
      </c>
      <c r="S7" s="49"/>
      <c r="T7" s="49"/>
      <c r="U7" s="49"/>
      <c r="V7" s="49"/>
      <c r="W7" s="49"/>
      <c r="X7" s="49"/>
      <c r="Y7" s="51" t="str">
        <f>IF(A2="EN","SURCHARGE --&gt;","DOPŁATA --&gt;")</f>
        <v>DOPŁATA --&gt;</v>
      </c>
      <c r="Z7" s="51"/>
      <c r="AA7" s="51"/>
      <c r="AB7" s="52">
        <v>0</v>
      </c>
      <c r="AC7" s="52"/>
      <c r="AD7" s="52"/>
      <c r="AE7" s="53" t="str">
        <f>IF(A2="EN","DISCOUNT --&gt;","RABAT --&gt;")</f>
        <v>RABAT --&gt;</v>
      </c>
      <c r="AF7" s="54">
        <v>0</v>
      </c>
    </row>
    <row r="8" spans="1:32" x14ac:dyDescent="0.3">
      <c r="A8" s="55">
        <v>2</v>
      </c>
      <c r="B8" s="30"/>
      <c r="C8" s="30"/>
      <c r="D8" s="30"/>
      <c r="E8" s="30"/>
      <c r="F8" s="30"/>
      <c r="G8" s="30"/>
      <c r="H8" s="31"/>
      <c r="I8" s="30"/>
      <c r="J8" s="32"/>
      <c r="K8" s="32"/>
      <c r="L8" s="33"/>
      <c r="M8" s="34"/>
      <c r="N8" s="35">
        <f>IF(M8=1,'[1]ilość MODUŁÓW'!G15,'[1]ilość MODUŁÓW'!F15)</f>
        <v>0</v>
      </c>
      <c r="O8" s="36"/>
      <c r="P8" s="34"/>
      <c r="Q8" s="35">
        <f>N8-S8-T8-U8</f>
        <v>0</v>
      </c>
      <c r="R8" s="56"/>
      <c r="S8" s="56"/>
      <c r="T8" s="34"/>
      <c r="U8" s="34"/>
      <c r="V8" s="34"/>
      <c r="W8" s="34"/>
      <c r="X8" s="34"/>
      <c r="Y8" s="56"/>
      <c r="Z8" s="56">
        <v>0</v>
      </c>
      <c r="AA8" s="56">
        <v>0</v>
      </c>
      <c r="AB8" s="57">
        <f>[1]Montaż!G24+M37+([1]Narzuty!$C$39+1)*IF(Y3="eur",
                           IF(J8="EI",
                                              (((AD9+([1]IE!H52+[1]IE!H53+[1]NE!H56+[1]NE!H57+[1]TE!H55+[1]TE!H56+[1]SE!H40+[1]SE!H41+[1]DE!H51+[1]DE!H52+[1]DE2!H51+[1]DE2!H52)*(1+[1]Narzuty!$C$59))/Y2))*C8*IF(P8="BEZ PŁYT",(1+10%),1),
                                              (([1]IE!H52+[1]IE!H53+[1]NE!H56+[1]NE!H57+[1]TE!H55+[1]TE!H56+[1]SE!H40+[1]SE!H41+[1]DE!H51+[1]DE!H52+[1]DE2!H51+[1]DE2!H52+AD9)/Y2)*C8*IF(P8="BEZ PŁYT",(1+10%),1)),
                           IF(J8="EI",
                                    IF(V3&gt;0,
                                             (AD9+([1]IE!H52+[1]IE!H53+[1]NE!H56+[1]NE!H57+[1]TE!H55+[1]TE!H56+[1]SE!H40+[1]SE!H41+[1]DE!H51+[1]DE!H52+[1]DE2!H51+[1]DE2!H52)*(1+[1]Narzuty!$C$59))*C8*(1+V3)*IF(P8="BEZ PŁYT",(1+10%),1),
                                              (AD9+([1]IE!H52+[1]IE!H53+[1]NE!H56+[1]NE!H57+[1]TE!H55+[1]TE!H56+[1]SE!H40+[1]SE!H41+[1]DE!H51+[1]DE!H52+[1]DE2!H51+[1]DE2!H52)*(1+[1]Narzuty!$C$59))*C8)*IF(P8="BEZ PŁYT",(1+10%),1),
                                    IF(V3&gt;0,
                                  ([1]IE!H52+[1]IE!H53+[1]NE!H56+[1]NE!H57+[1]TE!H55+[1]TE!H56+[1]SE!H40+[1]SE!H41+[1]DE!H51+[1]DE!H52+[1]DE2!H51+[1]DE2!H52+AD9)*C8*(1+V3)*IF(P8="BEZ PŁYT",(1+10%),1),
                                 ([1]IE!H52+[1]IE!H53+[1]NE!H56+[1]NE!H57+[1]TE!H55+[1]TE!H56+[1]SE!H40+[1]SE!H41+[1]DE!H51+[1]DE!H52+[1]DE2!H51+[1]DE2!H52+AD9)*C8*IF(P8="BEZ PŁYT",(1+10%),1))))</f>
        <v>0</v>
      </c>
      <c r="AC8" s="57">
        <f>[1]Montaż!G23+F36+([1]Narzuty!$C$39+1)*IF(Y3="eur",
                           IF(J8="EI",
                                              (((AD9+([1]Tory!H21+[1]Tory!H22+[1]Tory!H24+[1]Tory!H25+[1]Tory!H27+[1]Tory!H27)*(1+[1]Narzuty!$C$59))/Y2))*C8*IF(P8="BEZ PŁYT",(1+10%),1),
                                              (([1]Tory!H21+[1]Tory!H22+[1]Tory!H24+[1]Tory!H25+[1]Tory!H27)/Y2)*C8*IF(P8="BEZ PŁYT",(1+10%),1)),
                           IF(J8="EI",
                                    IF(V3&gt;0,
                                             (AD9+([1]Tory!H21+[1]Tory!H22+[1]Tory!H24+[1]Tory!H25+[1]Tory!H27)*(1+[1]Narzuty!$C$59))*C8*(1+V3)*IF(P8="BEZ PŁYT",(1+10%),1),
                                              (AD9+([1]Tory!H21+[1]Tory!H22+[1]Tory!H24+[1]Tory!H25+[1]Tory!H27)*(1+[1]Narzuty!$C$59))*C8)*IF(P8="BEZ PŁYT",(1+10%),1),
                                    IF(V3&gt;0,
                                  ([1]Tory!H21+[1]Tory!H22+[1]Tory!H24+[1]Tory!H25+[1]Tory!H27+[1]Tory!H27)*C8*(1+V3)*IF(P8="BEZ PŁYT",(1+10%),1),
                                 ([1]Tory!H21+[1]Tory!H22+[1]Tory!H24+[1]Tory!H25+[1]Tory!H27)*C8*IF(P8="BEZ PŁYT",(1+10%),1))))</f>
        <v>0</v>
      </c>
      <c r="AD8" s="57">
        <f>([1]Montaż!G23+[1]Montaż!G24)+(F37+M37)+([1]Narzuty!$C$39+1)*IF(Y3="eur",
                           IF(J8="EI",
                                              (((AD9+([1]Tory!H21+[1]Tory!H22+[1]Tory!H24+[1]Tory!H25+[1]Tory!H27+[1]Tory!H27+[1]IE!H52+[1]IE!H53+[1]NE!H56+[1]NE!H57+[1]TE!H55+[1]TE!H56+[1]SE!H40+[1]SE!H41+[1]DE!H51+[1]DE!H52+[1]DE2!H51+[1]DE2!H52)*(1+[1]Narzuty!$C$59))/Y2))*C8*IF(P8="BEZ PŁYT",(1+10%),1),
                                              (([1]Tory!H21+[1]Tory!H22+[1]Tory!H24+[1]Tory!H25+[1]Tory!H27+[1]IE!H52+[1]IE!H53+[1]NE!H56+[1]NE!H57+[1]TE!H55+[1]TE!H56+[1]SE!H40+[1]SE!H41+[1]DE!H51+[1]DE!H52+[1]DE2!H51+[1]DE2!H52+AD9)/Y2)*C8*IF(P8="BEZ PŁYT",(1+10%),1)),
                           IF(J8="EI",
                                    IF(V3&gt;0,
                                             (AD9+([1]Tory!H21+[1]Tory!H22+[1]Tory!H24+[1]Tory!H25+[1]Tory!H27+[1]IE!H52+[1]IE!H53+[1]NE!H56+[1]NE!H57+[1]TE!H55+[1]TE!H56+[1]SE!H40+[1]SE!H41+[1]DE!H51+[1]DE!H52+[1]DE2!H51+[1]DE2!H52)*(1+[1]Narzuty!$C$59))*C8*(1+V3)*IF(P8="BEZ PŁYT",(1+10%),1),
                                              (AD9+([1]Tory!H21+[1]Tory!H22+[1]Tory!H24+[1]Tory!H25+[1]Tory!H27+[1]IE!H52+[1]IE!H53+[1]NE!H56+[1]NE!H57+[1]TE!H55+[1]TE!H56+[1]SE!H40+[1]SE!H41+[1]DE!H51+[1]DE!H52+[1]DE2!H51+[1]DE2!H52)*(1+[1]Narzuty!$C$59))*C8)*IF(P8="BEZ PŁYT",(1+10%),1),
                                    IF(V3&gt;0,
                                  ([1]Tory!H21+[1]Tory!H22+[1]Tory!H24+[1]Tory!H25+[1]Tory!H27+[1]Tory!H27+[1]IE!H52+[1]IE!H53+[1]NE!H56+[1]NE!H57+[1]TE!H55+[1]TE!H56+[1]SE!H40+[1]SE!H41+[1]DE!H51+[1]DE!H52+[1]DE2!H51+[1]DE2!H52+AD9)*C8*(1+V3)*IF(P8="BEZ PŁYT",(1+10%),1),
                                 ([1]Tory!H21+[1]Tory!H22+[1]Tory!H24+[1]Tory!H25+[1]Tory!H27+[1]IE!H52+[1]IE!H53+[1]NE!H56+[1]NE!H57+[1]TE!H55+[1]TE!H56+[1]SE!H40+[1]SE!H41+[1]DE!H51+[1]DE!H52+[1]DE2!H51+[1]DE2!H52+AD9)*C8*IF(P8="BEZ PŁYT",(1+10%),1))))</f>
        <v>0</v>
      </c>
      <c r="AE8" s="38">
        <f>IF(Y3="eur",0,[1]Montaż!G25)</f>
        <v>0</v>
      </c>
      <c r="AF8" s="39">
        <f>(ROUND(AD8,0)*(1-AF9)+ROUND(AE8,0))</f>
        <v>0</v>
      </c>
    </row>
    <row r="9" spans="1:32" x14ac:dyDescent="0.3">
      <c r="A9" s="58"/>
      <c r="B9" s="30"/>
      <c r="C9" s="42" t="str">
        <f>IF(G8&gt;=5000,IF(H8="j","!! Dla podanej wysokości wybierz parkowanie NPN",""),"")</f>
        <v/>
      </c>
      <c r="D9" s="42"/>
      <c r="E9" s="42"/>
      <c r="F9" s="43"/>
      <c r="G9" s="42"/>
      <c r="H9" s="59" t="s">
        <v>16</v>
      </c>
      <c r="I9" s="45">
        <f>IF(H8="j",0,IF(H8="npn",ROUNDUP(N8/8,0),0))</f>
        <v>0</v>
      </c>
      <c r="J9" s="46" t="str">
        <f>IF(J8=45,"",IF(J8=49,"",IF(J8=51,"",IF(J8=53,"",IF(J8=54,"",IF(J8="EI","",IF(J8="","","!! Podaj poprawną akustykę")))))))</f>
        <v/>
      </c>
      <c r="K9" s="46" t="str">
        <f>IF(J8="EI",IF(K8="EI","","!! Błędna klasa palności"),"")</f>
        <v/>
      </c>
      <c r="L9" s="46" t="str">
        <f>IF(AND(H8="npn",I8=0),"Podaj liczbę stosów!",IF(AND(H8="j",I8&gt;0),"Usuń liczbę stosów",""))</f>
        <v/>
      </c>
      <c r="M9" s="43"/>
      <c r="N9" s="47"/>
      <c r="O9" s="48"/>
      <c r="P9" s="34"/>
      <c r="Q9" s="49"/>
      <c r="R9" s="50" t="str">
        <f>IF(S8&gt;0,IF(G8&gt;3150,"Nie można zastosować szklanych modułów!",""),"")</f>
        <v/>
      </c>
      <c r="S9" s="49"/>
      <c r="T9" s="49"/>
      <c r="U9" s="49"/>
      <c r="V9" s="49"/>
      <c r="W9" s="49"/>
      <c r="X9" s="60"/>
      <c r="Y9" s="51" t="str">
        <f>IF(A2="EN","SURCHARGE --&gt;","DOPŁATA --&gt;")</f>
        <v>DOPŁATA --&gt;</v>
      </c>
      <c r="Z9" s="51"/>
      <c r="AA9" s="51"/>
      <c r="AB9" s="61">
        <v>0</v>
      </c>
      <c r="AC9" s="61"/>
      <c r="AD9" s="61"/>
      <c r="AE9" s="53" t="str">
        <f>IF(A2="EN","DISCOUNT --&gt;","RABAT --&gt;")</f>
        <v>RABAT --&gt;</v>
      </c>
      <c r="AF9" s="54">
        <v>0</v>
      </c>
    </row>
    <row r="10" spans="1:32" x14ac:dyDescent="0.3">
      <c r="A10" s="62">
        <v>3</v>
      </c>
      <c r="B10" s="30"/>
      <c r="C10" s="30"/>
      <c r="D10" s="30"/>
      <c r="E10" s="30"/>
      <c r="F10" s="30"/>
      <c r="G10" s="30"/>
      <c r="H10" s="31"/>
      <c r="I10" s="30"/>
      <c r="J10" s="32"/>
      <c r="K10" s="32"/>
      <c r="L10" s="33"/>
      <c r="M10" s="34"/>
      <c r="N10" s="35">
        <f>IF(M10=1,'[1]ilość MODUŁÓW'!I15,'[1]ilość MODUŁÓW'!H15)</f>
        <v>0</v>
      </c>
      <c r="O10" s="36"/>
      <c r="P10" s="34"/>
      <c r="Q10" s="35">
        <f>N10-S10-T10-U10</f>
        <v>0</v>
      </c>
      <c r="R10" s="34"/>
      <c r="S10" s="34"/>
      <c r="T10" s="34"/>
      <c r="U10" s="34"/>
      <c r="V10" s="34"/>
      <c r="W10" s="34"/>
      <c r="X10" s="34"/>
      <c r="Y10" s="56"/>
      <c r="Z10" s="56">
        <v>0</v>
      </c>
      <c r="AA10" s="56">
        <v>0</v>
      </c>
      <c r="AB10" s="38">
        <f>[1]Montaż!I24+M38+([1]Narzuty!$C$39+1)*IF(Y3="eur",
                           IF(J10="EI",
                                              (((AD11+([1]IE!J52+[1]IE!J53+[1]NE!J56+[1]NE!J57+[1]TE!J55+[1]TE!J56+[1]SE!J40+[1]SE!J41+[1]DE!J51+[1]DE!J52+[1]DE2!J51+[1]DE2!J52)*(1+[1]Narzuty!$C$59))/Y2))*C10*IF(P10="BEZ PŁYT",(1+10%),1),
                                              (([1]IE!J52+[1]IE!J53+[1]NE!J56+[1]NE!J57+[1]TE!J55+[1]TE!J56+[1]SE!J40+[1]SE!J41+[1]DE!J51+[1]DE!J52+[1]DE2!J51+[1]DE2!J52+AD11)/Y2)*C10*IF(P10="BEZ PŁYT",(1+10%),1)),
                           IF(J10="EI",
                                    IF(V3&gt;0,
                                             (AD11+([1]IE!J52+[1]IE!J53+[1]NE!J56+[1]NE!J57+[1]TE!J55+[1]TE!J56+[1]SE!J40+[1]SE!J41+[1]DE!J51+[1]DE!J52+[1]DE2!J51+[1]DE2!J52)*(1+[1]Narzuty!$C$59))*C10*(1+V3)*IF(P10="BEZ PŁYT",(1+10%),1),
                                              (AD11+([1]IE!J52+[1]IE!J53+[1]NE!J56+[1]NE!J57+[1]TE!J55+[1]TE!J56+[1]SE!J40+[1]SE!J41+[1]DE!J51+[1]DE!J52+[1]DE2!J51+[1]DE2!J52)*(1+[1]Narzuty!$C$59))*C10*IF(P10="BEZ PŁYT",(1+10%),1)),
                                    IF(V3&gt;0,
                                  ([1]IE!J52+[1]IE!J53+[1]NE!J56+[1]NE!J57+[1]TE!J55+[1]TE!J56+[1]SE!J40+[1]SE!J41+[1]DE!J51+[1]DE!J52+[1]DE2!J51+[1]DE2!J52+AD11)*C10*(1+V3)*IF(P10="BEZ PŁYT",(1+10%),1),
                                 ([1]IE!J52+[1]IE!J53+[1]NE!J56+[1]NE!J57+[1]TE!J55+[1]TE!J56+[1]SE!J40+[1]SE!J41+[1]DE!J51+[1]DE!J52+[1]DE2!J51+[1]DE2!J52+AD11)*C10*IF(P10="BEZ PŁYT",(1+10%),1))))</f>
        <v>0</v>
      </c>
      <c r="AC10" s="38">
        <f>[1]Montaż!I23+F38+([1]Narzuty!$C$39+1)*IF(Y3="eur",
                           IF(J10="EI",
                                              (((AD11+([1]Tory!J21+[1]Tory!J22+[1]Tory!J24+[1]Tory!J25+[1]Tory!J27)*(1+[1]Narzuty!$C$59))/Y2))*C10*IF(P10="BEZ PŁYT",(1+10%),1),
                                              (([1]Tory!J21+[1]Tory!J22+[1]Tory!J24+[1]Tory!J25+[1]Tory!J27)/Y2)*C10*IF(P10="BEZ PŁYT",(1+10%),1)),
                           IF(J10="EI",
                                    IF(V3&gt;0,
                                             (AD11+([1]Tory!J21+[1]Tory!J22+[1]Tory!J24+[1]Tory!J25+[1]Tory!J27)*(1+[1]Narzuty!$C$59))*C10*(1+V3)*IF(P10="BEZ PŁYT",(1+10%),1),
                                              (AD11+([1]Tory!J21+[1]Tory!J22+[1]Tory!J24+[1]Tory!J25+[1]Tory!J27)*(1+[1]Narzuty!$C$59))*C10*IF(P10="BEZ PŁYT",(1+10%),1)),
                                    IF(V3&gt;0,
                                  ([1]Tory!J21+[1]Tory!J22+[1]Tory!J24+[1]Tory!J25+[1]Tory!J27)*C10*(1+V3)*IF(P10="BEZ PŁYT",(1+10%),1),
                                 ([1]Tory!J21+[1]Tory!J22+[1]Tory!J24+[1]Tory!J25+[1]Tory!J27)*C10*IF(P10="BEZ PŁYT",(1+10%),1))))</f>
        <v>0</v>
      </c>
      <c r="AD10" s="38">
        <f>[1]Montaż!I23+[1]Montaż!I24+(F38+M38)+([1]Narzuty!$C$39+1)*IF(Y3="eur",
                           IF(J10="EI",
                                              (((AD11+([1]Tory!J21+[1]Tory!J22+[1]Tory!J24+[1]Tory!J25+[1]Tory!J27+[1]IE!J52+[1]IE!J53+[1]NE!J56+[1]NE!J57+[1]TE!J55+[1]TE!J56+[1]SE!J40+[1]SE!J41+[1]DE!J51+[1]DE!J52+[1]DE2!J51+[1]DE2!J52)*(1+[1]Narzuty!$C$59))/Y2))*C10*IF(P10="BEZ PŁYT",(1+10%),1),
                                              (([1]Tory!J21+[1]Tory!J22+[1]Tory!J24+[1]Tory!J25+[1]Tory!J27+[1]IE!J52+[1]IE!J53+[1]NE!J56+[1]NE!J57+[1]TE!J55+[1]TE!J56+[1]SE!J40+[1]SE!J41+[1]DE!J51+[1]DE!J52+[1]DE2!J51+[1]DE2!J52+AD11)/Y2)*C10*IF(P10="BEZ PŁYT",(1+10%),1)),
                           IF(J10="EI",
                                    IF(V3&gt;0,
                                             (AD11+([1]Tory!J21+[1]Tory!J22+[1]Tory!J24+[1]Tory!J25+[1]Tory!J27+[1]IE!J52+[1]IE!J53+[1]NE!J56+[1]NE!J57+[1]TE!J55+[1]TE!J56+[1]SE!J40+[1]SE!J41+[1]DE!J51+[1]DE!J52+[1]DE2!J51+[1]DE2!J52)*(1+[1]Narzuty!$C$59))*C10*(1+V3)*IF(P10="BEZ PŁYT",(1+10%),1),
                                              (AD11+([1]Tory!J21+[1]Tory!J22+[1]Tory!J24+[1]Tory!J25+[1]Tory!J27+[1]IE!J52+[1]IE!J53+[1]NE!J56+[1]NE!J57+[1]TE!J55+[1]TE!J56+[1]SE!J40+[1]SE!J41+[1]DE!J51+[1]DE!J52+[1]DE2!J51+[1]DE2!J52)*(1+[1]Narzuty!$C$59))*C10*IF(P10="BEZ PŁYT",(1+10%),1)),
                                    IF(V3&gt;0,
                                  ([1]Tory!J21+[1]Tory!J22+[1]Tory!J24+[1]Tory!J25+[1]Tory!J27+[1]IE!J52+[1]IE!J53+[1]NE!J56+[1]NE!J57+[1]TE!J55+[1]TE!J56+[1]SE!J40+[1]SE!J41+[1]DE!J51+[1]DE!J52+[1]DE2!J51+[1]DE2!J52+AD11)*C10*(1+V3)*IF(P10="BEZ PŁYT",(1+10%),1),
                                 ([1]Tory!J21+[1]Tory!J22+[1]Tory!J24+[1]Tory!J25+[1]Tory!J27+[1]IE!J52+[1]IE!J53+[1]NE!J56+[1]NE!J57+[1]TE!J55+[1]TE!J56+[1]SE!J40+[1]SE!J41+[1]DE!J51+[1]DE!J52+[1]DE2!J51+[1]DE2!J52+AD11)*C10*IF(P10="BEZ PŁYT",(1+10%),1))))</f>
        <v>0</v>
      </c>
      <c r="AE10" s="38">
        <f>IF(Y3="eur",0,[1]Montaż!I25)</f>
        <v>0</v>
      </c>
      <c r="AF10" s="39">
        <f>(ROUND(AD10,0)*(1-AF11)+ROUND(AE10,0))</f>
        <v>0</v>
      </c>
    </row>
    <row r="11" spans="1:32" x14ac:dyDescent="0.3">
      <c r="A11" s="58"/>
      <c r="B11" s="30"/>
      <c r="C11" s="42" t="str">
        <f>IF(G10&gt;=5000,IF(H10="j","!! Dla podanej wysokości wybierz parkowanie NPN",""),"")</f>
        <v/>
      </c>
      <c r="D11" s="42"/>
      <c r="E11" s="42"/>
      <c r="F11" s="43"/>
      <c r="G11" s="42"/>
      <c r="H11" s="44" t="s">
        <v>16</v>
      </c>
      <c r="I11" s="45">
        <f>IF(H10="j",0,IF(H10="npn",ROUNDUP(N10/8,0),0))</f>
        <v>0</v>
      </c>
      <c r="J11" s="46" t="str">
        <f>IF(J10=45,"",IF(J10=49,"",IF(J10=51,"",IF(J10=53,"",IF(J10=54,"",IF(J10="EI","",IF(J10="","","!! Podaj poprawną akustykę")))))))</f>
        <v/>
      </c>
      <c r="K11" s="46" t="str">
        <f>IF(J10="EI",IF(K10="EI","","!! Błędna klasa palności"),"")</f>
        <v/>
      </c>
      <c r="L11" s="46" t="str">
        <f>IF(AND(H10="npn",I10=0),"Podaj liczbę stosów!",IF(AND(H10="j",I10&gt;0),"Usuń liczbę stosów",""))</f>
        <v/>
      </c>
      <c r="M11" s="43"/>
      <c r="N11" s="47"/>
      <c r="O11" s="48"/>
      <c r="P11" s="34"/>
      <c r="Q11" s="49"/>
      <c r="R11" s="50" t="str">
        <f>IF(S10&gt;0,IF(G10&gt;3150,"Nie można zastosować szklanych modułów!",""),"")</f>
        <v/>
      </c>
      <c r="S11" s="49"/>
      <c r="T11" s="49"/>
      <c r="U11" s="49"/>
      <c r="V11" s="49"/>
      <c r="W11" s="49"/>
      <c r="X11" s="60"/>
      <c r="Y11" s="51" t="str">
        <f>IF(A2="EN","SURCHARGE --&gt;","DOPŁATA --&gt;")</f>
        <v>DOPŁATA --&gt;</v>
      </c>
      <c r="Z11" s="51"/>
      <c r="AA11" s="51"/>
      <c r="AB11" s="61"/>
      <c r="AC11" s="61"/>
      <c r="AD11" s="61"/>
      <c r="AE11" s="53" t="str">
        <f>IF(A2="EN","DISCOUNT --&gt;","RABAT --&gt;")</f>
        <v>RABAT --&gt;</v>
      </c>
      <c r="AF11" s="54">
        <v>0</v>
      </c>
    </row>
    <row r="12" spans="1:32" x14ac:dyDescent="0.3">
      <c r="A12" s="62">
        <v>4</v>
      </c>
      <c r="B12" s="30"/>
      <c r="C12" s="30"/>
      <c r="D12" s="30"/>
      <c r="E12" s="30"/>
      <c r="F12" s="30"/>
      <c r="G12" s="30"/>
      <c r="H12" s="31"/>
      <c r="I12" s="30"/>
      <c r="J12" s="32"/>
      <c r="K12" s="32"/>
      <c r="L12" s="33"/>
      <c r="M12" s="34"/>
      <c r="N12" s="35">
        <f>IF(M12=1,'[1]ilość MODUŁÓW'!K15,'[1]ilość MODUŁÓW'!J15)</f>
        <v>0</v>
      </c>
      <c r="O12" s="36"/>
      <c r="P12" s="34"/>
      <c r="Q12" s="35">
        <f>N12-S12-T12-U12</f>
        <v>0</v>
      </c>
      <c r="R12" s="34"/>
      <c r="S12" s="34"/>
      <c r="T12" s="34"/>
      <c r="U12" s="34"/>
      <c r="V12" s="34"/>
      <c r="W12" s="34"/>
      <c r="X12" s="34"/>
      <c r="Y12" s="56">
        <v>0</v>
      </c>
      <c r="Z12" s="56">
        <v>0</v>
      </c>
      <c r="AA12" s="56">
        <v>0</v>
      </c>
      <c r="AB12" s="38">
        <f>[1]Montaż!K24+M39+([1]Narzuty!$C$39+1)*IF(Y3="eur",
                           IF(J12="EI",
                                              (((AD13+([1]IE!L52+[1]IE!L53+[1]NE!L56+[1]NE!L57+[1]TE!L55+[1]TE!L56+[1]SE!L40+[1]SE!L41+[1]DE!L51+[1]DE!L52+[1]DE2!L51+[1]DE2!L52)*(1+[1]Narzuty!$C$59))/Y2))*C12*IF(P12="BEZ PŁYT",(1+10%),1),
                                              (([1]IE!L52+[1]IE!L53+[1]NE!L56+[1]NE!L57+[1]TE!L55+[1]TE!L56+[1]SE!L40+[1]SE!L41+[1]DE!L51+[1]DE!L52+[1]DE2!L51+[1]DE2!L52+AD13)/Y2)*C12*IF(P12="BEZ PŁYT",(1+10%),1)),
                           IF(J12="EI",
                                    IF(V3&gt;0,
                                             (AD13+([1]IE!L52+[1]IE!L53+[1]NE!L56+[1]NE!L57+[1]TE!L55+[1]TE!L56+[1]SE!L40+[1]SE!L41+[1]DE!L51+[1]DE!L52+[1]DE2!L51+[1]DE2!L52)*(1+[1]Narzuty!$C$59))*C12*(1+V3)*IF(P12="BEZ PŁYT",(1+10%),1),
                                              (AD13+([1]IE!L52+[1]IE!L53+[1]NE!L56+[1]NE!L57+[1]TE!L55+[1]TE!L56+[1]SE!L40+[1]SE!L41+[1]DE!L51+[1]DE!L52+[1]DE2!L51+[1]DE2!L52)*(1+[1]Narzuty!$C$59))*C12*IF(P12="BEZ PŁYT",(1+10%),1)),
                                  IF(V3&gt;0,
                                  ([1]IE!L52+[1]IE!L53+[1]NE!L56+[1]NE!L57+[1]TE!L55+[1]TE!L56+[1]SE!L40+[1]SE!L41+[1]DE!L51+[1]DE!L52+[1]DE2!L51+[1]DE2!L52+AD13)*C12*(1+V3)*IF(P12="BEZ PŁYT",(1+10%),1),
                                 ([1]IE!L52+[1]IE!L53+[1]NE!L56+[1]NE!L57+[1]TE!L55+[1]TE!L56+[1]SE!L40+[1]SE!L41+[1]DE!L51+[1]DE!L52+[1]DE2!L51+[1]DE2!L52+AD13)*C12*IF(P12="BEZ PŁYT",(1+10%),1))))</f>
        <v>0</v>
      </c>
      <c r="AC12" s="38">
        <f>[1]Montaż!K23+F39+([1]Narzuty!$C$39+1)*IF(Y3="eur",
                           IF(J12="EI",
                                              (((AD13+([1]Tory!L21+[1]Tory!L22+[1]Tory!L24+[1]Tory!L25+[1]Tory!L27)*(1+[1]Narzuty!$C$59))/Y2))*C12*IF(P12="BEZ PŁYT",(1+10%),1),
                                              (([1]Tory!L21+[1]Tory!L22+[1]Tory!L24+[1]Tory!L25+[1]Tory!L27)/Y2)*C12*IF(P12="BEZ PŁYT",(1+10%),1)),
                           IF(J12="EI",
                                    IF(V3&gt;0,
                                             (AD13+([1]Tory!L21+[1]Tory!L22+[1]Tory!L24+[1]Tory!L25+[1]Tory!L27)*(1+[1]Narzuty!$C$59))*C12*(1+V3)*IF(P12="BEZ PŁYT",(1+10%),1),
                                              (AD13+([1]Tory!L21+[1]Tory!L22+[1]Tory!L24+[1]Tory!L25+[1]Tory!L27)*(1+[1]Narzuty!$C$59))*C12*IF(P12="BEZ PŁYT",(1+10%),1)),
                                  IF(V3&gt;0,
                                  ([1]Tory!L21+[1]Tory!L22+[1]Tory!L24+[1]Tory!L25+[1]Tory!L27)*C12*(1+V3)*IF(P12="BEZ PŁYT",(1+10%),1),
                                 ([1]Tory!L21+[1]Tory!L22+[1]Tory!L24+[1]Tory!L25+[1]Tory!L27)*C12*IF(P12="BEZ PŁYT",(1+10%),1))))</f>
        <v>0</v>
      </c>
      <c r="AD12" s="38">
        <f>[1]Montaż!K23+[1]Montaż!K24+(F39+M39)+([1]Narzuty!$C$39+1)*IF(Y3="eur",
                           IF(J12="EI",
                                              (((AD13+([1]Tory!L21+[1]Tory!L22+[1]Tory!L24+[1]Tory!L25+[1]Tory!L27+[1]IE!L52+[1]IE!L53+[1]NE!L56+[1]NE!L57+[1]TE!L55+[1]TE!L56+[1]SE!L40+[1]SE!L41+[1]DE!L51+[1]DE!L52+[1]DE2!L51+[1]DE2!L52)*(1+[1]Narzuty!$C$59))/Y2))*C12*IF(P12="BEZ PŁYT",(1+10%),1),
                                              (([1]Tory!L21+[1]Tory!L22+[1]Tory!L24+[1]Tory!L25+[1]Tory!L27+[1]IE!L52+[1]IE!L53+[1]NE!L56+[1]NE!L57+[1]TE!L55+[1]TE!L56+[1]SE!L40+[1]SE!L41+[1]DE!L51+[1]DE!L52+[1]DE2!L51+[1]DE2!L52+AD13)/Y2)*C12*IF(P12="BEZ PŁYT",(1+10%),1)),
                           IF(J12="EI",
                                    IF(V3&gt;0,
                                             (AD13+([1]Tory!L21+[1]Tory!L22+[1]Tory!L24+[1]Tory!L25+[1]Tory!L27+[1]IE!L52+[1]IE!L53+[1]NE!L56+[1]NE!L57+[1]TE!L55+[1]TE!L56+[1]SE!L40+[1]SE!L41+[1]DE!L51+[1]DE!L52+[1]DE2!L51+[1]DE2!L52)*(1+[1]Narzuty!$C$59))*C12*(1+V3)*IF(P12="BEZ PŁYT",(1+10%),1),
                                              (AD13+([1]Tory!L21+[1]Tory!L22+[1]Tory!L24+[1]Tory!L25+[1]Tory!L27+[1]IE!L52+[1]IE!L53+[1]NE!L56+[1]NE!L57+[1]TE!L55+[1]TE!L56+[1]SE!L40+[1]SE!L41+[1]DE!L51+[1]DE!L52+[1]DE2!L51+[1]DE2!L52)*(1+[1]Narzuty!$C$59))*C12*IF(P12="BEZ PŁYT",(1+10%),1)),
                                  IF(V3&gt;0,
                                  ([1]Tory!L21+[1]Tory!L22+[1]Tory!L24+[1]Tory!L25+[1]Tory!L27+[1]IE!L52+[1]IE!L53+[1]NE!L56+[1]NE!L57+[1]TE!L55+[1]TE!L56+[1]SE!L40+[1]SE!L41+[1]DE!L51+[1]DE!L52+[1]DE2!L51+[1]DE2!L52+AD13)*C12*(1+V3)*IF(P12="BEZ PŁYT",(1+10%),1),
                                 ([1]Tory!L21+[1]Tory!L22+[1]Tory!L24+[1]Tory!L25+[1]Tory!L27+[1]IE!L52+[1]IE!L53+[1]NE!L56+[1]NE!L57+[1]TE!L55+[1]TE!L56+[1]SE!L40+[1]SE!L41+[1]DE!L51+[1]DE!L52+[1]DE2!L51+[1]DE2!L52+AD13)*C12*IF(P12="BEZ PŁYT",(1+10%),1))))</f>
        <v>0</v>
      </c>
      <c r="AE12" s="38">
        <f>IF(Y3="eur",0,[1]Montaż!K25)</f>
        <v>0</v>
      </c>
      <c r="AF12" s="39">
        <f>(ROUND(AD12,0)*(1-AF13)+ROUND(AE12,0))</f>
        <v>0</v>
      </c>
    </row>
    <row r="13" spans="1:32" x14ac:dyDescent="0.3">
      <c r="A13" s="58"/>
      <c r="B13" s="30"/>
      <c r="C13" s="42" t="str">
        <f>IF(G12&gt;=5000,IF(H12="j","!! Dla podanej wysokości wybierz parkowanie NPN",""),"")</f>
        <v/>
      </c>
      <c r="D13" s="42"/>
      <c r="E13" s="42"/>
      <c r="F13" s="43"/>
      <c r="G13" s="42"/>
      <c r="H13" s="44" t="s">
        <v>16</v>
      </c>
      <c r="I13" s="45">
        <f>IF(H12="j",0,IF(H12="npn",ROUNDUP(N12/8,0),0))</f>
        <v>0</v>
      </c>
      <c r="J13" s="46" t="str">
        <f>IF(J12=45,"",IF(J12=49,"",IF(J12=51,"",IF(J12=53,"",IF(J12=54,"",IF(J12="EI","",IF(J12="","","!! Podaj poprawną akustykę")))))))</f>
        <v/>
      </c>
      <c r="K13" s="46" t="str">
        <f>IF(J12="EI",IF(K12="EI","","!! Błędna klasa palności"),"")</f>
        <v/>
      </c>
      <c r="L13" s="46" t="str">
        <f>IF(AND(H12="npn",I12=0),"Podaj liczbę stosów!",IF(AND(H12="j",I12&gt;0),"Usuń liczbę stosów",""))</f>
        <v/>
      </c>
      <c r="M13" s="43"/>
      <c r="N13" s="47"/>
      <c r="O13" s="48"/>
      <c r="P13" s="34"/>
      <c r="Q13" s="49"/>
      <c r="R13" s="50" t="str">
        <f>IF(S12&gt;0,IF(G12&gt;3150,"Nie można zastosować szklanych modułów!",""),"")</f>
        <v/>
      </c>
      <c r="S13" s="49"/>
      <c r="T13" s="49"/>
      <c r="U13" s="49"/>
      <c r="V13" s="49"/>
      <c r="W13" s="49"/>
      <c r="X13" s="60"/>
      <c r="Y13" s="51" t="str">
        <f>IF(A2="EN","SURCHARGE --&gt;","DOPŁATA --&gt;")</f>
        <v>DOPŁATA --&gt;</v>
      </c>
      <c r="Z13" s="51"/>
      <c r="AA13" s="51"/>
      <c r="AB13" s="63"/>
      <c r="AC13" s="63"/>
      <c r="AD13" s="63"/>
      <c r="AE13" s="64" t="str">
        <f>IF(A2="EN","DISCOUNT --&gt;","RABAT --&gt;")</f>
        <v>RABAT --&gt;</v>
      </c>
      <c r="AF13" s="54">
        <v>0</v>
      </c>
    </row>
    <row r="14" spans="1:32" x14ac:dyDescent="0.3">
      <c r="A14" s="62">
        <v>5</v>
      </c>
      <c r="B14" s="30"/>
      <c r="C14" s="30"/>
      <c r="D14" s="30"/>
      <c r="E14" s="30"/>
      <c r="F14" s="30"/>
      <c r="G14" s="30"/>
      <c r="H14" s="31"/>
      <c r="I14" s="30"/>
      <c r="J14" s="32"/>
      <c r="K14" s="32"/>
      <c r="L14" s="33"/>
      <c r="M14" s="34"/>
      <c r="N14" s="35">
        <f>IF(M14=1,'[1]ilość MODUŁÓW'!M15,'[1]ilość MODUŁÓW'!L15)</f>
        <v>0</v>
      </c>
      <c r="O14" s="36"/>
      <c r="P14" s="34"/>
      <c r="Q14" s="35">
        <f>N14-S14-T14-U14</f>
        <v>0</v>
      </c>
      <c r="R14" s="34"/>
      <c r="S14" s="34"/>
      <c r="T14" s="34"/>
      <c r="U14" s="56"/>
      <c r="V14" s="56"/>
      <c r="W14" s="34"/>
      <c r="X14" s="34"/>
      <c r="Y14" s="34"/>
      <c r="Z14" s="34"/>
      <c r="AA14" s="34"/>
      <c r="AB14" s="38">
        <f>[1]Montaż!M24+M40+([1]Narzuty!$C$39+1)*IF(Y3="eur",
                           IF(J14="EI",
                                              (((AD15+([1]IE!N52+[1]IE!N53+[1]NE!N56+[1]NE!N57+[1]TE!N55+[1]TE!N56+[1]SE!N40+[1]SE!N41+[1]DE!N51+[1]DE!N52+[1]DE2!N51+[1]DE2!N52)*(1+[1]Narzuty!$C$59))/Y2))*C14*IF(P14="BEZ PŁYT",(1+10%),1),
                                              (([1]IE!N52+[1]IE!N53+[1]NE!N56+[1]NE!N57+[1]TE!N55+[1]TE!N56+[1]SE!N40+[1]SE!N41+[1]DE!N51+[1]DE!N52+[1]DE2!N51+[1]DE2!N52+AD15)/Y2)*C14*IF(P14="BEZ PŁYT",(1+10%),1)),
                           IF(J14="EI",
                                    IF(V3&gt;0,
                                             (AD15+([1]IE!N52+[1]IE!N53+[1]NE!N56+[1]NE!N57+[1]TE!N55+[1]TE!N56+[1]SE!N40+[1]SE!N41+[1]DE!N51+[1]DE!N52+[1]DE2!N51+[1]DE2!N52)*(1+[1]Narzuty!$C$59))*C14*(1+V3)*IF(P14="BEZ PŁYT",(1+10%),1),
                                              (AD15+([1]IE!N52+[1]IE!N53+[1]NE!N56+[1]NE!N57+[1]TE!N55+[1]TE!N56+[1]SE!N40+[1]SE!N41+[1]DE!N51+[1]DE!N52+[1]DE2!N51+[1]DE2!N52)*(1+[1]Narzuty!$C$59))*C14)*IF(P14="BEZ PŁYT",(1+10%),1),
                                  IF(V3&gt;0,
                                  ([1]IE!N52+[1]IE!N53+[1]NE!N56+[1]NE!N57+[1]TE!N55+[1]TE!N56+[1]SE!N40+[1]SE!N41+[1]DE!N51+[1]DE!N52+[1]DE2!N51+[1]DE2!N52+AD15)*C14*(1+V3)*IF(P14="BEZ PŁYT",(1+10%),1),
                                 ([1]IE!N52+[1]IE!N53+[1]NE!N56+[1]NE!N57+[1]TE!N55+[1]TE!N56+[1]SE!N40+[1]SE!N41+[1]DE!N51+[1]DE!N52+[1]DE2!N51+[1]DE2!N52+AD15)*C14*IF(P14="BEZ PŁYT",(1+10%),1))))</f>
        <v>0</v>
      </c>
      <c r="AC14" s="38">
        <f>[1]Montaż!M23+F40+([1]Narzuty!$C$39+1)*IF(Y3="eur",
                           IF(J14="EI",
                                              (((AD15+([1]Tory!N21+[1]Tory!N22+[1]Tory!N24+[1]Tory!N25)*(1+[1]Narzuty!$C$59))/Y2))*C14*IF(P14="BEZ PŁYT",(1+10%),1),
                                              (([1]Tory!N21+[1]Tory!N22+[1]Tory!N24+[1]Tory!N25+[1]Tory!N27)/Y2)*C14*IF(P14="BEZ PŁYT",(1+10%),1)),
                           IF(J14="EI",
                                    IF(V3&gt;0,
                                             (AD15+([1]Tory!N21+[1]Tory!N22+[1]Tory!N24+[1]Tory!N25+[1]Tory!N27)*(1+[1]Narzuty!$C$59))*C14*(1+V3)*IF(P14="BEZ PŁYT",(1+10%),1),
                                              (AD15+([1]Tory!N21+[1]Tory!N22+[1]Tory!N24+[1]Tory!N25+[1]Tory!N27)*(1+[1]Narzuty!$C$59))*C14)*IF(P14="BEZ PŁYT",(1+10%),1),
                                  IF(V3&gt;0,
                                  ([1]Tory!N21+[1]Tory!N22+[1]Tory!N24+[1]Tory!N25+[1]Tory!N27)*C14*(1+V3)*IF(P14="BEZ PŁYT",(1+10%),1),
                                 ([1]Tory!N21+[1]Tory!N22+[1]Tory!N24+[1]Tory!N25+[1]Tory!N27)*C14*IF(P14="BEZ PŁYT",(1+10%),1))))</f>
        <v>0</v>
      </c>
      <c r="AD14" s="38">
        <f>[1]Montaż!M23+[1]Montaż!M24+(F40+M40)+([1]Narzuty!$C$39+1)*IF(Y3="eur",
                           IF(J14="EI",
                                              (((AD15+([1]Tory!N21+[1]Tory!N22+[1]Tory!N24+[1]Tory!N25+[1]Tory!N27+[1]IE!N52+[1]IE!N53+[1]NE!N56+[1]NE!N57+[1]TE!N55+[1]TE!N56+[1]SE!N40+[1]SE!N41+[1]DE!N51+[1]DE!N52+[1]DE2!N51+[1]DE2!N52)*(1+[1]Narzuty!$C$59))/Y2))*C14*IF(P14="BEZ PŁYT",(1+10%),1),
                                              (([1]Tory!N21+[1]Tory!N22+[1]Tory!N24+[1]Tory!N25+[1]Tory!N27+[1]IE!N52+[1]IE!N53+[1]NE!N56+[1]NE!N57+[1]TE!N55+[1]TE!N56+[1]SE!N40+[1]SE!N41+[1]DE!N51+[1]DE!N52+[1]DE2!N51+[1]DE2!N52+AD15)/Y2)*C14*IF(P14="BEZ PŁYT",(1+10%),1)),
                           IF(J14="EI",
                                    IF(V3&gt;0,
                                             (AD15+([1]Tory!N21+[1]Tory!N22+[1]Tory!N24+[1]Tory!N25+[1]Tory!N27+[1]IE!N52+[1]IE!N53+[1]NE!N56+[1]NE!N57+[1]TE!N55+[1]TE!N56+[1]SE!N40+[1]SE!N41+[1]DE!N51+[1]DE!N52+[1]DE2!N51+[1]DE2!N52)*(1+[1]Narzuty!$C$59))*C14*(1+V3)*IF(P14="BEZ PŁYT",(1+10%),1),
                                              (AD15+([1]Tory!N21+[1]Tory!N22+[1]Tory!N24+[1]Tory!N25+[1]Tory!N27+[1]IE!N52+[1]IE!N53+[1]NE!N56+[1]NE!N57+[1]TE!N55+[1]TE!N56+[1]SE!N40+[1]SE!N41+[1]DE!N51+[1]DE!N52+[1]DE2!N51+[1]DE2!N52)*(1+[1]Narzuty!$C$59))*C14)*IF(P14="BEZ PŁYT",(1+10%),1),
                                  IF(V3&gt;0,
                                  ([1]Tory!N21+[1]Tory!N22+[1]Tory!N24+[1]Tory!N25+[1]Tory!N27+[1]IE!N52+[1]IE!N53+[1]NE!N56+[1]NE!N57+[1]TE!N55+[1]TE!N56+[1]SE!N40+[1]SE!N41+[1]DE!N51+[1]DE!N52+[1]DE2!N51+[1]DE2!N52+AD15)*C14*(1+V3)*IF(P14="BEZ PŁYT",(1+10%),1),
                                 ([1]Tory!N21+[1]Tory!N22+[1]Tory!N24+[1]Tory!N25+[1]Tory!N27+[1]IE!N52+[1]IE!N53+[1]NE!N56+[1]NE!N57+[1]TE!N55+[1]TE!N56+[1]SE!N40+[1]SE!N41+[1]DE!N51+[1]DE!N52+[1]DE2!N51+[1]DE2!N52+AD15)*C14*IF(P14="BEZ PŁYT",(1+10%),1))))</f>
        <v>0</v>
      </c>
      <c r="AE14" s="38">
        <f>IF(Y3="eur",0,[1]Montaż!M25)</f>
        <v>0</v>
      </c>
      <c r="AF14" s="39">
        <f>(ROUND(AD14,0)*(1-AF15)+ROUND(AE14,0))</f>
        <v>0</v>
      </c>
    </row>
    <row r="15" spans="1:32" x14ac:dyDescent="0.3">
      <c r="A15" s="58"/>
      <c r="B15" s="30"/>
      <c r="C15" s="42" t="str">
        <f>IF(G14&gt;=5000,IF(H14="j","!! Dla podanej wysokości wybierz parkowanie NPN",""),"")</f>
        <v/>
      </c>
      <c r="D15" s="42"/>
      <c r="E15" s="42"/>
      <c r="F15" s="43"/>
      <c r="G15" s="42"/>
      <c r="H15" s="44" t="s">
        <v>16</v>
      </c>
      <c r="I15" s="45">
        <f>IF(H14="j",0,IF(H14="npn",ROUNDUP(N14/8,0),0))</f>
        <v>0</v>
      </c>
      <c r="J15" s="46" t="str">
        <f>IF(J14=45,"",IF(J14=49,"",IF(J14=51,"",IF(J14=53,"",IF(J14=54,"",IF(J14="EI","",IF(J14="","","!! Podaj poprawną akustykę")))))))</f>
        <v/>
      </c>
      <c r="K15" s="46" t="str">
        <f>IF(J14="EI",IF(K14="EI","","!! Błędna klasa palności"),"")</f>
        <v/>
      </c>
      <c r="L15" s="46" t="str">
        <f>IF(AND(H14="npn",I14=0),"Podaj liczbę stosów!",IF(AND(H14="j",I14&gt;0),"Usuń liczbę stosów",""))</f>
        <v/>
      </c>
      <c r="M15" s="43"/>
      <c r="N15" s="47"/>
      <c r="O15" s="48"/>
      <c r="P15" s="34"/>
      <c r="Q15" s="49"/>
      <c r="R15" s="50" t="str">
        <f>IF(S14&gt;0,IF(G14&gt;3150,"Nie można zastosować szklanych modułów!",""),"")</f>
        <v/>
      </c>
      <c r="S15" s="49"/>
      <c r="T15" s="49"/>
      <c r="U15" s="49"/>
      <c r="V15" s="49"/>
      <c r="W15" s="49"/>
      <c r="X15" s="60"/>
      <c r="Y15" s="51" t="str">
        <f>IF(A2="EN","SURCHARGE --&gt;","DOPŁATA --&gt;")</f>
        <v>DOPŁATA --&gt;</v>
      </c>
      <c r="Z15" s="51"/>
      <c r="AA15" s="51"/>
      <c r="AB15" s="63"/>
      <c r="AC15" s="63"/>
      <c r="AD15" s="63"/>
      <c r="AE15" s="64" t="str">
        <f>IF(A2="EN","DISCOUNT --&gt;","RABAT --&gt;")</f>
        <v>RABAT --&gt;</v>
      </c>
      <c r="AF15" s="54">
        <v>0</v>
      </c>
    </row>
    <row r="16" spans="1:32" x14ac:dyDescent="0.3">
      <c r="A16" s="62">
        <v>6</v>
      </c>
      <c r="B16" s="30"/>
      <c r="C16" s="30"/>
      <c r="D16" s="30"/>
      <c r="E16" s="30"/>
      <c r="F16" s="30"/>
      <c r="G16" s="30"/>
      <c r="H16" s="31"/>
      <c r="I16" s="30"/>
      <c r="J16" s="32"/>
      <c r="K16" s="32"/>
      <c r="L16" s="33"/>
      <c r="M16" s="34"/>
      <c r="N16" s="35">
        <f>IF(M16=1,'[1]ilość MODUŁÓW'!O15,'[1]ilość MODUŁÓW'!N15)</f>
        <v>0</v>
      </c>
      <c r="O16" s="36"/>
      <c r="P16" s="34"/>
      <c r="Q16" s="35">
        <f>N16-S16-T16-U16</f>
        <v>0</v>
      </c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8">
        <f>[1]Montaż!O24+M41+([1]Narzuty!$C$39+1)*IF(Y3="eur",
                           IF(J16="EI",
                                              (((AD17+([1]IE!P52+[1]IE!P53+[1]NE!P56+[1]NE!P57+[1]TE!P55+[1]TE!P56+[1]SE!P40+[1]SE!P41+[1]DE!P51+[1]DE!P52+[1]DE2!P51+[1]DE2!P52)*(1+[1]Narzuty!$C$59))/Y2))*C16*IF(P16="BEZ PŁYT",(1+10%),1),
                                              (([1]IE!P52+[1]IE!P53+[1]NE!P56+[1]NE!P57+[1]TE!P55+[1]TE!P56+[1]SE!P40+[1]SE!P41+[1]DE!P51+[1]DE!P52+[1]DE2!P51+[1]DE2!P52+AD17)/Y2)*C16*IF(P16="BEZ PŁYT",(1+10%),1)),
                           IF(J16="EI",
                                    IF(V3&gt;0,
                                             (AD17+([1]IE!P52+[1]IE!P53+[1]NE!P56+[1]NE!P57+[1]TE!P55+[1]TE!P56+[1]SE!P40+[1]SE!P41+[1]DE!P51+[1]DE!P52+[1]DE2!P51+[1]DE2!P52)*(1+[1]Narzuty!$C$59))*C16*(1+V3)*IF(P16="BEZ PŁYT",(1+10%),1),
                                              (AD17+([1]IE!P52+[1]IE!P53+[1]NE!P56+[1]NE!P57+[1]TE!P55+[1]TE!P56+[1]SE!P40+[1]SE!P41+[1]DE!P51+[1]DE!P52+[1]DE2!P51+[1]DE2!P52)*(1+[1]Narzuty!$C$59))*C16*IF(P16="BEZ PŁYT",(1+10%),1)),
                           IF(V3&gt;0,
                                  ([1]IE!P52+[1]IE!P53+[1]NE!P56+[1]NE!P57+[1]TE!P55+[1]TE!P56+[1]SE!P40+[1]SE!P41+[1]DE!P51+[1]DE!P52+[1]DE2!P51+[1]DE2!P52+AD17)*C16*(1+V3)*IF(P16="BEZ PŁYT",(1+10%),1),
                                 ([1]IE!P52+[1]IE!P53+[1]NE!P56+[1]NE!P57+[1]TE!P55+[1]TE!P56+[1]SE!P40+[1]SE!P41+[1]DE!P51+[1]DE!P52+[1]DE2!P51+[1]DE2!P52+AD17)*C16*IF(P16="BEZ PŁYT",(1+10%),1))))</f>
        <v>0</v>
      </c>
      <c r="AC16" s="38">
        <f>[1]Montaż!O23+F41+([1]Narzuty!$C$39+1)*IF(Y3="eur",
                           IF(J16="EI",
                                              (((AD17+([1]Tory!P21+[1]Tory!P22+[1]Tory!P24+[1]Tory!P25+[1]Tory!P27)*(1+[1]Narzuty!$C$59))/Y2))*C16*IF(P16="BEZ PŁYT",(1+10%),1),
                                              (([1]Tory!P21+[1]Tory!P22+[1]Tory!P24+[1]Tory!P25+[1]Tory!P27)/Y2)*C16*IF(P16="BEZ PŁYT",(1+10%),1)),
                           IF(J16="EI",
                                    IF(V3&gt;0,
                                             (AD17+([1]Tory!P21+[1]Tory!P22+[1]Tory!P24+[1]Tory!P25+[1]Tory!P27)*(1+[1]Narzuty!$C$59))*C16*(1+V3)*IF(P16="BEZ PŁYT",(1+10%),1),
                                              (AD17+([1]Tory!P21+[1]Tory!P22+[1]Tory!P24+[1]Tory!P25+[1]Tory!P27)*(1+[1]Narzuty!$C$59))*C16*IF(P16="BEZ PŁYT",(1+10%),1)),
                           IF(V3&gt;0,
                                  ([1]Tory!P21+[1]Tory!P22+[1]Tory!P24+[1]Tory!P25+[1]Tory!P27)*C16*(1+V3)*IF(P16="BEZ PŁYT",(1+10%),1),
                                 ([1]Tory!P21+[1]Tory!P22+[1]Tory!P24+[1]Tory!P25+[1]Tory!P27)*C16*IF(P16="BEZ PŁYT",(1+10%),1))))</f>
        <v>0</v>
      </c>
      <c r="AD16" s="38">
        <f>[1]Montaż!O23+[1]Montaż!O24+(F41+M41)+([1]Narzuty!$C$39+1)*IF(Y3="eur",
                           IF(J16="EI",
                                              (((AD17+([1]Tory!P21+[1]Tory!P22+[1]Tory!P24+[1]Tory!P25+[1]Tory!P27+[1]IE!P52+[1]IE!P53+[1]NE!P56+[1]NE!P57+[1]TE!P55+[1]TE!P56+[1]SE!P40+[1]SE!P41+[1]DE!P51+[1]DE!P52+[1]DE2!P51+[1]DE2!P52)*(1+[1]Narzuty!$C$59))/Y2))*C16*IF(P16="BEZ PŁYT",(1+10%),1),
                                              (([1]Tory!P21+[1]Tory!P22+[1]Tory!P24+[1]Tory!P25+[1]Tory!P27+[1]IE!P52+[1]IE!P53+[1]NE!P56+[1]NE!P57+[1]TE!P55+[1]TE!P56+[1]SE!P40+[1]SE!P41+[1]DE!P51+[1]DE!P52+[1]DE2!P51+[1]DE2!P52+AD17)/Y2)*C16*IF(P16="BEZ PŁYT",(1+10%),1)),
                           IF(J16="EI",
                                    IF(V3&gt;0,
                                             (AD17+([1]Tory!P21+[1]Tory!P22+[1]Tory!P24+[1]Tory!P25+[1]Tory!P27+[1]IE!P52+[1]IE!P53+[1]NE!P56+[1]NE!P57+[1]TE!P55+[1]TE!P56+[1]SE!P40+[1]SE!P41+[1]DE!P51+[1]DE!P52+[1]DE2!P51+[1]DE2!P52)*(1+[1]Narzuty!$C$59))*C16*(1+V3)*IF(P16="BEZ PŁYT",(1+10%),1),
                                              (AD17+([1]Tory!P21+[1]Tory!P22+[1]Tory!P24+[1]Tory!P25+[1]Tory!P27+[1]IE!P52+[1]IE!P53+[1]NE!P56+[1]NE!P57+[1]TE!P55+[1]TE!P56+[1]SE!P40+[1]SE!P41+[1]DE!P51+[1]DE!P52+[1]DE2!P51+[1]DE2!P52)*(1+[1]Narzuty!$C$59))*C16*IF(P16="BEZ PŁYT",(1+10%),1)),
                           IF(V3&gt;0,
                                  ([1]Tory!P21+[1]Tory!P22+[1]Tory!P24+[1]Tory!P25+[1]Tory!P27+[1]IE!P52+[1]IE!P53+[1]NE!P56+[1]NE!P57+[1]TE!P55+[1]TE!P56+[1]SE!P40+[1]SE!P41+[1]DE!P51+[1]DE!P52+[1]DE2!P51+[1]DE2!P52+AD17)*C16*(1+V3)*IF(P16="BEZ PŁYT",(1+10%),1),
                                 ([1]Tory!P21+[1]Tory!P22+[1]Tory!P24+[1]Tory!P25+[1]Tory!P27+[1]IE!P52+[1]IE!P53+[1]NE!P56+[1]NE!P57+[1]TE!P55+[1]TE!P56+[1]SE!P40+[1]SE!P41+[1]DE!P51+[1]DE!P52+[1]DE2!P51+[1]DE2!P52+AD17)*C16*IF(P16="BEZ PŁYT",(1+10%),1))))</f>
        <v>0</v>
      </c>
      <c r="AE16" s="38">
        <f>IF(Y3="eur",0,[1]Montaż!O25)</f>
        <v>0</v>
      </c>
      <c r="AF16" s="39">
        <f>(ROUND(AD16,0)*(1-AF17)+ROUND(AE16,0))</f>
        <v>0</v>
      </c>
    </row>
    <row r="17" spans="1:32" x14ac:dyDescent="0.3">
      <c r="A17" s="58"/>
      <c r="B17" s="30"/>
      <c r="C17" s="42" t="str">
        <f>IF(G16&gt;=5000,IF(H16="j","!! Dla podanej wysokości wybierz parkowanie NPN",""),"")</f>
        <v/>
      </c>
      <c r="D17" s="42"/>
      <c r="E17" s="42"/>
      <c r="F17" s="43"/>
      <c r="G17" s="42"/>
      <c r="H17" s="44" t="s">
        <v>16</v>
      </c>
      <c r="I17" s="45">
        <f>IF(H16="j",0,IF(H16="npn",ROUNDUP(N16/8,0),0))</f>
        <v>0</v>
      </c>
      <c r="J17" s="46" t="str">
        <f>IF(J16=45,"",IF(J16=49,"",IF(J16=51,"",IF(J16=53,"",IF(J16=54,"",IF(J16="EI","",IF(J16="","","!! Podaj poprawną akustykę")))))))</f>
        <v/>
      </c>
      <c r="K17" s="46" t="str">
        <f>IF(J16="EI",IF(K16="EI","","!! Błędna klasa palności"),"")</f>
        <v/>
      </c>
      <c r="L17" s="46" t="str">
        <f>IF(AND(H16="npn",I16=0),"Podaj liczbę stosów!",IF(AND(H16="j",I16&gt;0),"Usuń liczbę stosów",""))</f>
        <v/>
      </c>
      <c r="M17" s="43"/>
      <c r="N17" s="47"/>
      <c r="O17" s="48"/>
      <c r="P17" s="34"/>
      <c r="Q17" s="49"/>
      <c r="R17" s="50" t="str">
        <f>IF(S16&gt;0,IF(G16&gt;3150,"Nie można zastosować szklanych modułów!",""),"")</f>
        <v/>
      </c>
      <c r="S17" s="49"/>
      <c r="T17" s="49"/>
      <c r="U17" s="49"/>
      <c r="V17" s="49"/>
      <c r="W17" s="49"/>
      <c r="X17" s="60"/>
      <c r="Y17" s="51" t="str">
        <f>IF(A2="EN","SURCHARGE --&gt;","DOPŁATA --&gt;")</f>
        <v>DOPŁATA --&gt;</v>
      </c>
      <c r="Z17" s="51"/>
      <c r="AA17" s="51"/>
      <c r="AB17" s="63"/>
      <c r="AC17" s="63"/>
      <c r="AD17" s="63"/>
      <c r="AE17" s="64" t="str">
        <f>IF(A2="EN","DISCOUNT --&gt;","RABAT --&gt;")</f>
        <v>RABAT --&gt;</v>
      </c>
      <c r="AF17" s="54">
        <v>0</v>
      </c>
    </row>
    <row r="18" spans="1:32" x14ac:dyDescent="0.3">
      <c r="A18" s="62">
        <v>7</v>
      </c>
      <c r="B18" s="30"/>
      <c r="C18" s="30"/>
      <c r="D18" s="30"/>
      <c r="E18" s="30"/>
      <c r="F18" s="30"/>
      <c r="G18" s="30"/>
      <c r="H18" s="31"/>
      <c r="I18" s="30"/>
      <c r="J18" s="32"/>
      <c r="K18" s="32"/>
      <c r="L18" s="33"/>
      <c r="M18" s="34"/>
      <c r="N18" s="35">
        <f>IF(M18=1,'[1]ilość MODUŁÓW'!Q15,'[1]ilość MODUŁÓW'!P15)</f>
        <v>0</v>
      </c>
      <c r="O18" s="36"/>
      <c r="P18" s="34"/>
      <c r="Q18" s="35">
        <f>N18-S18-T18-U18</f>
        <v>0</v>
      </c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8">
        <f>[1]Montaż!Q24+M42+([1]Narzuty!$C$39+1)*IF(Y3="eur",
                           IF(J18="EI",
                                              (((AD19+([1]IE!R52+[1]IE!R53+[1]NE!R56+[1]NE!R57+[1]TE!R55+[1]TE!R56+[1]SE!R40+[1]SE!R41+[1]DE!R51+[1]DE!R52+[1]DE2!R51+[1]DE2!R52)*(1+[1]Narzuty!$C$59))/Y2))*C18*IF(P18="BEZ PŁYT",(1+10%),1),
                                              (([1]IE!R52+[1]IE!R53+[1]NE!R56+[1]NE!R57+[1]TE!R55+[1]TE!R56+[1]SE!R40+[1]SE!R41+[1]DE!R51+[1]DE!R52+[1]DE2!R51+[1]DE2!R52+AD19)/Y2)*C18*IF(P18="BEZ PŁYT",(1+10%),1)),
                           IF(J18="EI",
                                    IF(V3&gt;0,
                                             (AD19+([1]IE!R52+[1]IE!R53+[1]NE!R56+[1]NE!R57+[1]TE!R55+[1]TE!R56+[1]SE!R40+[1]SE!R41+[1]DE!R51+[1]DE!R52+[1]DE2!R51+[1]DE2!R52)*(1+[1]Narzuty!$C$59))*C18*(1+V3)*IF(P18="BEZ PŁYT",(1+10%),1),
                                              (AD19+([1]IE!R52+[1]IE!R53+[1]NE!R56+[1]NE!R57+[1]TE!R55+[1]TE!R56+[1]SE!R40+[1]SE!R41+[1]DE!R51+[1]DE!R52+[1]DE2!R51+[1]DE2!R52)*(1+[1]Narzuty!$C$59))*C18)*IF(P18="BEZ PŁYT",(1+10%),1),
                           IF(V3&gt;0,
                                  ([1]IE!R52+[1]IE!R53+[1]NE!R56+[1]NE!R57+[1]TE!R55+[1]TE!R56+[1]SE!R40+[1]SE!R41+[1]DE!R51+[1]DE!R52+[1]DE2!R51+[1]DE2!R52+AD19)*C18*(1+V3)*IF(P18="BEZ PŁYT",(1+10%),1),
                                 ([1]IE!R52+[1]IE!R53+[1]NE!R56+[1]NE!R57+[1]TE!R55+[1]TE!R56+[1]SE!R40+[1]SE!R41+[1]DE!R51+[1]DE!R52+[1]DE2!R51+[1]DE2!R52+AD19)*C18*IF(P18="BEZ PŁYT",(1+10%),1))))</f>
        <v>0</v>
      </c>
      <c r="AC18" s="38">
        <f>[1]Montaż!Q23+F42+([1]Narzuty!$C$39+1)*IF(Y3="eur",
                           IF(J18="EI",
                                              (((AD19+([1]Tory!R21+[1]Tory!R22+[1]Tory!R24+[1]Tory!R25+[1]Tory!R27)*(1+[1]Narzuty!$C$59))/Y2))*C18*IF(P18="BEZ PŁYT",(1+10%),1),
                                              (([1]Tory!R21+[1]Tory!R22+[1]Tory!R24+[1]Tory!R25+[1]Tory!R27)/Y2)*C18*IF(P18="BEZ PŁYT",(1+10%),1)),
                           IF(J18="EI",
                                    IF(V3&gt;0,
                                             (AD19+([1]Tory!R21+[1]Tory!R22+[1]Tory!R24+[1]Tory!R25+[1]Tory!R27)*(1+[1]Narzuty!$C$59))*C18*(1+V3)*IF(P18="BEZ PŁYT",(1+10%),1),
                                              (AD19+([1]Tory!R21+[1]Tory!R22+[1]Tory!R24+[1]Tory!R25+[1]Tory!R27)*(1+[1]Narzuty!$C$59))*C18)*IF(P18="BEZ PŁYT",(1+10%),1),
                           IF(V3&gt;0,
                                  ([1]Tory!R21+[1]Tory!R22+[1]Tory!R24+[1]Tory!R25+[1]Tory!R27)*C18*(1+V3)*IF(P18="BEZ PŁYT",(1+10%),1),
                                 ([1]Tory!R21+[1]Tory!R22+[1]Tory!R24+[1]Tory!R25+[1]Tory!R27)*C18*IF(P18="BEZ PŁYT",(1+10%),1))))</f>
        <v>0</v>
      </c>
      <c r="AD18" s="38">
        <f>[1]Montaż!Q23+[1]Montaż!Q24+(F42+M42)+([1]Narzuty!$C$39+1)*IF(Y3="eur",
                           IF(J18="EI",
                                              (((AD19+([1]Tory!R21+[1]Tory!R22+[1]Tory!R24+[1]Tory!R25+[1]Tory!R27+[1]IE!R52+[1]IE!R53+[1]NE!R56+[1]NE!R57+[1]TE!R55+[1]TE!R56+[1]SE!R40+[1]SE!R41+[1]DE!R51+[1]DE!R52+[1]DE2!R51+[1]DE2!R52)*(1+[1]Narzuty!$C$59))/Y2))*C18*IF(P18="BEZ PŁYT",(1+10%),1),
                                              (([1]Tory!R21+[1]Tory!R22+[1]Tory!R24+[1]Tory!R25+[1]Tory!R27+[1]IE!R52+[1]IE!R53+[1]NE!R56+[1]NE!R57+[1]TE!R55+[1]TE!R56+[1]SE!R40+[1]SE!R41+[1]DE!R51+[1]DE!R52+[1]DE2!R51+[1]DE2!R52+AD19)/Y2)*C18*IF(P18="BEZ PŁYT",(1+10%),1)),
                           IF(J18="EI",
                                    IF(V3&gt;0,
                                             (AD19+([1]Tory!R21+[1]Tory!R22+[1]Tory!R24+[1]Tory!R25+[1]Tory!R27+[1]IE!R52+[1]IE!R53+[1]NE!R56+[1]NE!R57+[1]TE!R55+[1]TE!R56+[1]SE!R40+[1]SE!R41+[1]DE!R51+[1]DE!R52+[1]DE2!R51+[1]DE2!R52)*(1+[1]Narzuty!$C$59))*C18*(1+V3)*IF(P18="BEZ PŁYT",(1+10%),1),
                                              (AD19+([1]Tory!R21+[1]Tory!R22+[1]Tory!R24+[1]Tory!R25+[1]Tory!R27+[1]IE!R52+[1]IE!R53+[1]NE!R56+[1]NE!R57+[1]TE!R55+[1]TE!R56+[1]SE!R40+[1]SE!R41+[1]DE!R51+[1]DE!R52+[1]DE2!R51+[1]DE2!R52)*(1+[1]Narzuty!$C$59))*C18)*IF(P18="BEZ PŁYT",(1+10%),1),
                           IF(V3&gt;0,
                                  ([1]Tory!R21+[1]Tory!R22+[1]Tory!R24+[1]Tory!R25+[1]Tory!R27+[1]IE!R52+[1]IE!R53+[1]NE!R56+[1]NE!R57+[1]TE!R55+[1]TE!R56+[1]SE!R40+[1]SE!R41+[1]DE!R51+[1]DE!R52+[1]DE2!R51+[1]DE2!R52+AD19)*C18*(1+V3)*IF(P18="BEZ PŁYT",(1+10%),1),
                                 ([1]Tory!R21+[1]Tory!R22+[1]Tory!R24+[1]Tory!R25+[1]Tory!R27+[1]IE!R52+[1]IE!R53+[1]NE!R56+[1]NE!R57+[1]TE!R55+[1]TE!R56+[1]SE!R40+[1]SE!R41+[1]DE!R51+[1]DE!R52+[1]DE2!R51+[1]DE2!R52+AD19)*C18*IF(P18="BEZ PŁYT",(1+10%),1))))</f>
        <v>0</v>
      </c>
      <c r="AE18" s="38">
        <f>IF(Y3="eur",0,[1]Montaż!Q25)</f>
        <v>0</v>
      </c>
      <c r="AF18" s="39">
        <f>(ROUND(AD18,0)*(1-AF19)+ROUND(AE18,0))</f>
        <v>0</v>
      </c>
    </row>
    <row r="19" spans="1:32" x14ac:dyDescent="0.3">
      <c r="A19" s="58"/>
      <c r="B19" s="30"/>
      <c r="C19" s="42" t="str">
        <f>IF(G18&gt;=5000,IF(H18="j","!! Dla podanej wysokości wybierz parkowanie NPN",""),"")</f>
        <v/>
      </c>
      <c r="D19" s="42"/>
      <c r="E19" s="42"/>
      <c r="F19" s="43"/>
      <c r="G19" s="42"/>
      <c r="H19" s="44" t="s">
        <v>16</v>
      </c>
      <c r="I19" s="45">
        <f>IF(H18="j",0,IF(H18="npn",ROUNDUP(N18/8,0),0))</f>
        <v>0</v>
      </c>
      <c r="J19" s="46" t="str">
        <f>IF(J18=45,"",IF(J18=49,"",IF(J18=51,"",IF(J18=53,"",IF(J18=54,"",IF(J18="EI","",IF(J18="","","!! Podaj poprawną akustykę")))))))</f>
        <v/>
      </c>
      <c r="K19" s="46" t="str">
        <f>IF(J18="EI",IF(K18="EI","","!! Błędna klasa palności"),"")</f>
        <v/>
      </c>
      <c r="L19" s="46" t="str">
        <f>IF(AND(H18="npn",I18=0),"Podaj liczbę stosów!",IF(AND(H18="j",I18&gt;0),"Usuń liczbę stosów",""))</f>
        <v/>
      </c>
      <c r="M19" s="43"/>
      <c r="N19" s="47"/>
      <c r="O19" s="48"/>
      <c r="P19" s="34"/>
      <c r="Q19" s="49"/>
      <c r="R19" s="50" t="str">
        <f>IF(S18&gt;0,IF(G18&gt;3150,"Nie można zastosować szklanych modułów!",""),"")</f>
        <v/>
      </c>
      <c r="S19" s="49"/>
      <c r="T19" s="49"/>
      <c r="U19" s="49"/>
      <c r="V19" s="49"/>
      <c r="W19" s="49"/>
      <c r="X19" s="60"/>
      <c r="Y19" s="51" t="str">
        <f>IF(A2="EN","SURCHARGE --&gt;","DOPŁATA --&gt;")</f>
        <v>DOPŁATA --&gt;</v>
      </c>
      <c r="Z19" s="51"/>
      <c r="AA19" s="51"/>
      <c r="AB19" s="63"/>
      <c r="AC19" s="63"/>
      <c r="AD19" s="63"/>
      <c r="AE19" s="64" t="str">
        <f>IF(A2="EN","DISCOUNT --&gt;","RABAT --&gt;")</f>
        <v>RABAT --&gt;</v>
      </c>
      <c r="AF19" s="54">
        <v>0</v>
      </c>
    </row>
    <row r="20" spans="1:32" x14ac:dyDescent="0.3">
      <c r="A20" s="62">
        <v>8</v>
      </c>
      <c r="B20" s="30"/>
      <c r="C20" s="30"/>
      <c r="D20" s="30"/>
      <c r="E20" s="30"/>
      <c r="F20" s="30"/>
      <c r="G20" s="30"/>
      <c r="H20" s="31"/>
      <c r="I20" s="30"/>
      <c r="J20" s="32"/>
      <c r="K20" s="32"/>
      <c r="L20" s="33"/>
      <c r="M20" s="34"/>
      <c r="N20" s="35">
        <f>IF(M20=1,'[1]ilość MODUŁÓW'!S15,'[1]ilość MODUŁÓW'!R15)</f>
        <v>0</v>
      </c>
      <c r="O20" s="36"/>
      <c r="P20" s="34"/>
      <c r="Q20" s="35">
        <f>N20-S20-T20-U20</f>
        <v>0</v>
      </c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8">
        <f>[1]Montaż!S24+M43+([1]Narzuty!$C$39+1)*IF(Y3="eur",
                           IF(J20="EI",
                                              (((AD21+([1]IE!T52+[1]IE!T53+[1]NE!T56+[1]NE!T57+[1]TE!T55+[1]TE!T56+[1]SE!T40+[1]SE!T41+[1]DE!T51+[1]DE!T52+[1]DE2!T51+[1]DE2!T52)*(1+[1]Narzuty!$C$59))/Y2))*C20*IF(P20="BEZ PŁYT",(1+10%),1),
                                              (([1]IE!T52+[1]IE!T53+[1]NE!T56+[1]NE!T57+[1]TE!T55+[1]TE!T56+[1]SE!T40+[1]SE!T41+[1]DE!T51+[1]DE!T52+[1]DE2!T51+[1]DE2!T52+AD21)/Y2)*C20*IF(P20="BEZ PŁYT",(1+10%),1)),
                           IF(J20="EI",
                                    IF(V3&gt;0,
                                             (AD21+([1]IE!T52+[1]IE!T53+[1]NE!T56+[1]NE!T57+[1]TE!T55+[1]TE!T56+[1]SE!T40+[1]SE!T41+[1]DE!T51+[1]DE!T52+[1]DE2!T51+[1]DE2!T52)*(1+[1]Narzuty!$C$59))*C20*(1+V3)*IF(P20="BEZ PŁYT",(1+10%),1),
                                              (AD21+([1]IE!T52+[1]IE!T53+[1]NE!T56+[1]NE!T57+[1]TE!T55+[1]TE!T56+[1]SE!T40+[1]SE!T41+[1]DE!T51+[1]DE!T52+[1]DE2!T51+[1]DE2!T52)*(1+[1]Narzuty!$C$59))*C20*IF(P20="BEZ PŁYT",(1+10%),1)),
                                     IF(V3&gt;0,
                                  ([1]IE!T52+[1]IE!T53+[1]NE!T56+[1]NE!T57+[1]TE!T55+[1]TE!T56+[1]SE!T40+[1]SE!T41+[1]DE!T51+[1]DE!T52+[1]DE2!T51+[1]DE2!T52+AD21)*C20*(1+V3)*IF(P20="BEZ PŁYT",(1+10%),1),
                                 ([1]IE!T52+[1]IE!T53+[1]NE!T56+[1]NE!T57+[1]TE!T55+[1]TE!T56+[1]SE!T40+[1]SE!T41+[1]DE!T51+[1]DE!T52+[1]DE2!T51+[1]DE2!T52+AD21)*C20*IF(P20="BEZ PŁYT",(1+10%),1))))</f>
        <v>0</v>
      </c>
      <c r="AC20" s="38">
        <f>[1]Montaż!S23+F43+([1]Narzuty!$C$39+1)*IF(Y3="eur",
                           IF(J20="EI",
                                              (((AD21+([1]Tory!T21+[1]Tory!T22+[1]Tory!T24+[1]Tory!T25+[1]Tory!T27)*(1+[1]Narzuty!$C$59))/Y2))*C20*IF(P20="BEZ PŁYT",(1+10%),1),
                                              (([1]Tory!T21+[1]Tory!T22+[1]Tory!T24+[1]Tory!T25+[1]Tory!T27)/Y2)*C20*IF(P20="BEZ PŁYT",(1+10%),1)),
                           IF(J20="EI",
                                    IF(V3&gt;0,
                                             (AD21+([1]Tory!T21+[1]Tory!T22+[1]Tory!T24+[1]Tory!T25+[1]Tory!T27)*(1+[1]Narzuty!$C$59))*C20*(1+V3)*IF(P20="BEZ PŁYT",(1+10%),1),
                                              (AD21+([1]Tory!T21+[1]Tory!T22+[1]Tory!T24+[1]Tory!T25+[1]Tory!T27)*(1+[1]Narzuty!$C$59))*C20*IF(P20="BEZ PŁYT",(1+10%),1)),
                                     IF(V3&gt;0,
                                  ([1]Tory!T21+[1]Tory!T22+[1]Tory!T24+[1]Tory!T25+[1]Tory!T27)*C20*(1+V3)*IF(P20="BEZ PŁYT",(1+10%),1),
                                 ([1]Tory!T21+[1]Tory!T22+[1]Tory!T24+[1]Tory!T25+[1]Tory!T27)*C20*IF(P20="BEZ PŁYT",(1+10%),1))))</f>
        <v>0</v>
      </c>
      <c r="AD20" s="38">
        <f>[1]Montaż!S23+[1]Montaż!S24+(F43+M43)+([1]Narzuty!$C$39+1)*IF(Y3="eur",
                           IF(J20="EI",
                                              (((AD21+([1]Tory!T21+[1]Tory!T22+[1]Tory!T24+[1]Tory!T25+[1]Tory!T27+[1]IE!T52+[1]IE!T53+[1]NE!T56+[1]NE!T57+[1]TE!T55+[1]TE!T56+[1]SE!T40+[1]SE!T41+[1]DE!T51+[1]DE!T52+[1]DE2!T51+[1]DE2!T52)*(1+[1]Narzuty!$C$59))/Y2))*C20*IF(P20="BEZ PŁYT",(1+10%),1),
                                              (([1]Tory!T21+[1]Tory!T22+[1]Tory!T24+[1]Tory!T25+[1]Tory!T27+[1]IE!T52+[1]IE!T53+[1]NE!T56+[1]NE!T57+[1]TE!T55+[1]TE!T56+[1]SE!T40+[1]SE!T41+[1]DE!T51+[1]DE!T52+[1]DE2!T51+[1]DE2!T52+AD21)/Y2)*C20*IF(P20="BEZ PŁYT",(1+10%),1)),
                           IF(J20="EI",
                                    IF(V3&gt;0,
                                             (AD21+([1]Tory!T21+[1]Tory!T22+[1]Tory!T24+[1]Tory!T25+[1]Tory!T27+[1]IE!T52+[1]IE!T53+[1]NE!T56+[1]NE!T57+[1]TE!T55+[1]TE!T56+[1]SE!T40+[1]SE!T41+[1]DE!T51+[1]DE!T52+[1]DE2!T51+[1]DE2!T52)*(1+[1]Narzuty!$C$59))*C20*(1+V3)*IF(P20="BEZ PŁYT",(1+10%),1),
                                              (AD21+([1]Tory!T21+[1]Tory!T22+[1]Tory!T24+[1]Tory!T25+[1]Tory!T27+[1]IE!T52+[1]IE!T53+[1]NE!T56+[1]NE!T57+[1]TE!T55+[1]TE!T56+[1]SE!T40+[1]SE!T41+[1]DE!T51+[1]DE!T52+[1]DE2!T51+[1]DE2!T52)*(1+[1]Narzuty!$C$59))*C20*IF(P20="BEZ PŁYT",(1+10%),1)),
                                     IF(V3&gt;0,
                                  ([1]Tory!T21+[1]Tory!T22+[1]Tory!T24+[1]Tory!T25+[1]Tory!T27+[1]IE!T52+[1]IE!T53+[1]NE!T56+[1]NE!T57+[1]TE!T55+[1]TE!T56+[1]SE!T40+[1]SE!T41+[1]DE!T51+[1]DE!T52+[1]DE2!T51+[1]DE2!T52+AD21)*C20*(1+V3)*IF(P20="BEZ PŁYT",(1+10%),1),
                                 ([1]Tory!T21+[1]Tory!T22+[1]Tory!T24+[1]Tory!T25+[1]Tory!T27+[1]IE!T52+[1]IE!T53+[1]NE!T56+[1]NE!T57+[1]TE!T55+[1]TE!T56+[1]SE!T40+[1]SE!T41+[1]DE!T51+[1]DE!T52+[1]DE2!T51+[1]DE2!T52+AD21)*C20*IF(P20="BEZ PŁYT",(1+10%),1))))</f>
        <v>0</v>
      </c>
      <c r="AE20" s="38">
        <f>IF(Y3="eur",0,[1]Montaż!S25)</f>
        <v>0</v>
      </c>
      <c r="AF20" s="39">
        <f>(ROUND(AD20,0)*(1-AF21)+ROUND(AE20,0))</f>
        <v>0</v>
      </c>
    </row>
    <row r="21" spans="1:32" x14ac:dyDescent="0.3">
      <c r="A21" s="58"/>
      <c r="B21" s="30"/>
      <c r="C21" s="42" t="str">
        <f>IF(G20&gt;=5000,IF(H20="j","!! Dla podanej wysokości wybierz parkowanie NPN",""),"")</f>
        <v/>
      </c>
      <c r="D21" s="42"/>
      <c r="E21" s="42"/>
      <c r="F21" s="43"/>
      <c r="G21" s="42"/>
      <c r="H21" s="44" t="s">
        <v>16</v>
      </c>
      <c r="I21" s="45">
        <f>IF(H20="j",0,IF(H20="npn",ROUNDUP(N20/8,0),0))</f>
        <v>0</v>
      </c>
      <c r="J21" s="46" t="str">
        <f>IF(J20=45,"",IF(J20=49,"",IF(J20=51,"",IF(J20=53,"",IF(J20=54,"",IF(J20="EI","",IF(J20="","","!! Podaj poprawną akustykę")))))))</f>
        <v/>
      </c>
      <c r="K21" s="46" t="str">
        <f>IF(J20="EI",IF(K20="EI","","!! Błędna klasa palności"),"")</f>
        <v/>
      </c>
      <c r="L21" s="46" t="str">
        <f>IF(AND(H20="npn",I20=0),"Podaj liczbę stosów!",IF(AND(H20="j",I20&gt;0),"Usuń liczbę stosów",""))</f>
        <v/>
      </c>
      <c r="M21" s="43"/>
      <c r="N21" s="47"/>
      <c r="O21" s="48"/>
      <c r="P21" s="34"/>
      <c r="Q21" s="49"/>
      <c r="R21" s="50" t="str">
        <f>IF(S20&gt;0,IF(G20&gt;3150,"Nie można zastosować szklanych modułów!",""),"")</f>
        <v/>
      </c>
      <c r="S21" s="49"/>
      <c r="T21" s="49"/>
      <c r="U21" s="49"/>
      <c r="V21" s="49"/>
      <c r="W21" s="49"/>
      <c r="X21" s="60"/>
      <c r="Y21" s="51" t="str">
        <f>IF(A2="EN","SURCHARGE --&gt;","DOPŁATA --&gt;")</f>
        <v>DOPŁATA --&gt;</v>
      </c>
      <c r="Z21" s="51"/>
      <c r="AA21" s="51"/>
      <c r="AB21" s="63"/>
      <c r="AC21" s="63"/>
      <c r="AD21" s="63"/>
      <c r="AE21" s="64" t="str">
        <f>IF(A2="EN","DISCOUNT --&gt;","RABAT --&gt;")</f>
        <v>RABAT --&gt;</v>
      </c>
      <c r="AF21" s="54">
        <v>0</v>
      </c>
    </row>
    <row r="22" spans="1:32" x14ac:dyDescent="0.3">
      <c r="A22" s="62">
        <v>9</v>
      </c>
      <c r="B22" s="30"/>
      <c r="C22" s="30"/>
      <c r="D22" s="30"/>
      <c r="E22" s="30"/>
      <c r="F22" s="30"/>
      <c r="G22" s="30"/>
      <c r="H22" s="31"/>
      <c r="I22" s="30"/>
      <c r="J22" s="32"/>
      <c r="K22" s="32"/>
      <c r="L22" s="33"/>
      <c r="M22" s="34"/>
      <c r="N22" s="35">
        <f>IF(M22=1,'[1]ilość MODUŁÓW'!U15,'[1]ilość MODUŁÓW'!T15)</f>
        <v>0</v>
      </c>
      <c r="O22" s="36"/>
      <c r="P22" s="34"/>
      <c r="Q22" s="35">
        <f>N22-S22-T22-U22</f>
        <v>0</v>
      </c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8">
        <f>[1]Montaż!U24+M44+([1]Narzuty!$C$39+1)*IF(Y3="eur",
                           IF(J22="EI",
                                              (((AD23+([1]IE!V52+[1]IE!V53+[1]NE!V56+[1]NE!V57+[1]TE!V55+[1]TE!V56+[1]SE!V40+[1]SE!V41+[1]DE!V51+[1]DE!V52+[1]DE2!V51+[1]DE2!V52)*(1+[1]Narzuty!$C$59))/Y2))*C22*IF(P22="BEZ PŁYT",(1+10%),1),
                                              (([1]IE!V52+[1]IE!V53+[1]NE!V56+[1]NE!V57+[1]TE!V55+[1]TE!V56+[1]SE!V40+[1]SE!V41+[1]DE!V51+[1]DE!V52+[1]DE2!V51+[1]DE2!V52+AD23)/Y2)*C22*IF(P22="BEZ PŁYT",(1+10%),1)),
                           IF(J22="EI",
                                    IF(V3&gt;0,
                                             (AD23+([1]IE!V52+[1]IE!V53+[1]NE!V56+[1]NE!V57+[1]TE!V55+[1]TE!V56+[1]SE!V40+[1]SE!V41+[1]DE!V51+[1]DE!V52+[1]DE2!V51+[1]DE2!V52)*(1+[1]Narzuty!$C$59))*C22*(1+V3)*IF(P22="BEZ PŁYT",(1+10%),1),
                                              (AD23+([1]IE!V52+[1]IE!V53+[1]NE!V56+[1]NE!V57+[1]TE!V55+[1]TE!V56+[1]SE!V40+[1]SE!V41+[1]DE!V51+[1]DE!V52+[1]DE2!V51+[1]DE2!V52)*(1+[1]Narzuty!$C$59))*C22*IF(P22="BEZ PŁYT",(1+10%),1)),
                           IF(V3&gt;0,
                                  ([1]IE!V52+[1]IE!V53+[1]NE!V56+[1]NE!V57+[1]TE!V55+[1]TE!V56+[1]SE!V40+[1]SE!V41+[1]DE!V51+[1]DE!V52+[1]DE2!V51+[1]DE2!V52+AD23)*C22*(1+V3)*IF(P22="BEZ PŁYT",(1+10%),1),
                                 ([1]IE!V52+[1]IE!V53+[1]NE!V56+[1]NE!V57+[1]TE!V55+[1]TE!V56+[1]SE!V40+[1]SE!V41+[1]DE!V51+[1]DE!V52+[1]DE2!V51+[1]DE2!V52+AD23)*C22*IF(P22="BEZ PŁYT",(1+10%),1))))</f>
        <v>0</v>
      </c>
      <c r="AC22" s="38">
        <f>[1]Montaż!U23+F44+([1]Narzuty!$C$39+1)*IF(Y3="eur",
                           IF(J22="EI",
                                              (((AD23+([1]Tory!V21+[1]Tory!V22+[1]Tory!V24+[1]Tory!V25+[1]Tory!V27)*(1+[1]Narzuty!$C$59))/Y2))*C22*IF(P22="BEZ PŁYT",(1+10%),1),
                                              (([1]Tory!V21+[1]Tory!V22+[1]Tory!V24+[1]Tory!V25+[1]Tory!V27)/Y2)*C22*IF(P22="BEZ PŁYT",(1+10%),1)),
                           IF(J22="EI",
                                    IF(V3&gt;0,
                                             (AD23+([1]Tory!V21+[1]Tory!V22+[1]Tory!V24+[1]Tory!V25+[1]Tory!V27)*(1+[1]Narzuty!$C$59))*C22*(1+V3)*IF(P22="BEZ PŁYT",(1+10%),1),
                                              (AD23+([1]Tory!V21+[1]Tory!V22+[1]Tory!V24+[1]Tory!V25+[1]Tory!V27)*(1+[1]Narzuty!$C$59))*C22*IF(P22="BEZ PŁYT",(1+10%),1)),
                           IF(V3&gt;0,
                                  ([1]Tory!V21+[1]Tory!V22+[1]Tory!V24+[1]Tory!V25+[1]Tory!V27)*C22*(1+V3)*IF(P22="BEZ PŁYT",(1+10%),1),
                                 ([1]Tory!V21+[1]Tory!V22+[1]Tory!V24+[1]Tory!V25+[1]Tory!V27)*C22*IF(P22="BEZ PŁYT",(1+10%),1))))</f>
        <v>0</v>
      </c>
      <c r="AD22" s="38">
        <f>[1]Montaż!U23+[1]Montaż!U24+(F44+M44)+([1]Narzuty!$C$39+1)*IF(Y3="eur",
                           IF(J22="EI",
                                              (((AD23+([1]Tory!V21+[1]Tory!V22+[1]Tory!V24+[1]Tory!V25+[1]Tory!V27+[1]IE!V52+[1]IE!V53+[1]NE!V56+[1]NE!V57+[1]TE!V55+[1]TE!V56+[1]SE!V40+[1]SE!V41+[1]DE!V51+[1]DE!V52+[1]DE2!V51+[1]DE2!V52)*(1+[1]Narzuty!$C$59))/Y2))*C22*IF(P22="BEZ PŁYT",(1+10%),1),
                                              (([1]Tory!V21+[1]Tory!V22+[1]Tory!V24+[1]Tory!V25+[1]Tory!V27+[1]IE!V52+[1]IE!V53+[1]NE!V56+[1]NE!V57+[1]TE!V55+[1]TE!V56+[1]SE!V40+[1]SE!V41+[1]DE!V51+[1]DE!V52+[1]DE2!V51+[1]DE2!V52+AD23)/Y2)*C22*IF(P22="BEZ PŁYT",(1+10%),1)),
                           IF(J22="EI",
                                    IF(V3&gt;0,
                                             (AD23+([1]Tory!V21+[1]Tory!V22+[1]Tory!V24+[1]Tory!V25+[1]Tory!V27+[1]IE!V52+[1]IE!V53+[1]NE!V56+[1]NE!V57+[1]TE!V55+[1]TE!V56+[1]SE!V40+[1]SE!V41+[1]DE!V51+[1]DE!V52+[1]DE2!V51+[1]DE2!V52)*(1+[1]Narzuty!$C$59))*C22*(1+V3)*IF(P22="BEZ PŁYT",(1+10%),1),
                                              (AD23+([1]Tory!V21+[1]Tory!V22+[1]Tory!V24+[1]Tory!V25+[1]Tory!V27+[1]IE!V52+[1]IE!V53+[1]NE!V56+[1]NE!V57+[1]TE!V55+[1]TE!V56+[1]SE!V40+[1]SE!V41+[1]DE!V51+[1]DE!V52+[1]DE2!V51+[1]DE2!V52)*(1+[1]Narzuty!$C$59))*C22*IF(P22="BEZ PŁYT",(1+10%),1)),
                           IF(V3&gt;0,
                                  ([1]Tory!V21+[1]Tory!V22+[1]Tory!V24+[1]Tory!V25+[1]Tory!V27+[1]IE!V52+[1]IE!V53+[1]NE!V56+[1]NE!V57+[1]TE!V55+[1]TE!V56+[1]SE!V40+[1]SE!V41+[1]DE!V51+[1]DE!V52+[1]DE2!V51+[1]DE2!V52+AD23)*C22*(1+V3)*IF(P22="BEZ PŁYT",(1+10%),1),
                                 ([1]Tory!V21+[1]Tory!V22+[1]Tory!V24+[1]Tory!V25+[1]Tory!V27+[1]IE!V52+[1]IE!V53+[1]NE!V56+[1]NE!V57+[1]TE!V55+[1]TE!V56+[1]SE!V40+[1]SE!V41+[1]DE!V51+[1]DE!V52+[1]DE2!V51+[1]DE2!V52+AD23)*C22*IF(P22="BEZ PŁYT",(1+10%),1))))</f>
        <v>0</v>
      </c>
      <c r="AE22" s="38">
        <f>IF(Y3="eur",0,[1]Montaż!U25)</f>
        <v>0</v>
      </c>
      <c r="AF22" s="39">
        <f>(ROUND(AD22,0)*(1-AF23)+ROUND(AE22,0))</f>
        <v>0</v>
      </c>
    </row>
    <row r="23" spans="1:32" x14ac:dyDescent="0.3">
      <c r="A23" s="58"/>
      <c r="B23" s="30"/>
      <c r="C23" s="42" t="str">
        <f>IF(G22&gt;=5000,IF(H22="j","!! Dla podanej wysokości wybierz parkowanie NPN",""),"")</f>
        <v/>
      </c>
      <c r="D23" s="42"/>
      <c r="E23" s="42"/>
      <c r="F23" s="43"/>
      <c r="G23" s="42"/>
      <c r="H23" s="44" t="s">
        <v>16</v>
      </c>
      <c r="I23" s="45">
        <f>IF(H22="j",0,IF(H22="npn",ROUNDUP(N22/8,0),0))</f>
        <v>0</v>
      </c>
      <c r="J23" s="46" t="str">
        <f>IF(J22=45,"",IF(J22=49,"",IF(J22=51,"",IF(J22=53,"",IF(J22=54,"",IF(J22="EI","",IF(J22="","","!! Podaj poprawną akustykę")))))))</f>
        <v/>
      </c>
      <c r="K23" s="46" t="str">
        <f>IF(J22="EI",IF(K22="EI","","!! Błędna klasa palności"),"")</f>
        <v/>
      </c>
      <c r="L23" s="46" t="str">
        <f>IF(AND(H22="npn",I22=0),"Podaj liczbę stosów!",IF(AND(H22="j",I22&gt;0),"Usuń liczbę stosów",""))</f>
        <v/>
      </c>
      <c r="M23" s="43"/>
      <c r="N23" s="47"/>
      <c r="O23" s="48"/>
      <c r="P23" s="34"/>
      <c r="Q23" s="49"/>
      <c r="R23" s="50" t="str">
        <f>IF(S22&gt;0,IF(G22&gt;3150,"Nie można zastosować szklanych modułów!",""),"")</f>
        <v/>
      </c>
      <c r="S23" s="49"/>
      <c r="T23" s="49"/>
      <c r="U23" s="49"/>
      <c r="V23" s="49"/>
      <c r="W23" s="49"/>
      <c r="X23" s="60"/>
      <c r="Y23" s="51" t="str">
        <f>IF(A2="EN","SURCHARGE --&gt;","DOPŁATA --&gt;")</f>
        <v>DOPŁATA --&gt;</v>
      </c>
      <c r="Z23" s="51"/>
      <c r="AA23" s="51"/>
      <c r="AB23" s="63"/>
      <c r="AC23" s="63"/>
      <c r="AD23" s="63"/>
      <c r="AE23" s="64" t="str">
        <f>IF(A2="EN","DISCOUNT --&gt;","RABAT --&gt;")</f>
        <v>RABAT --&gt;</v>
      </c>
      <c r="AF23" s="54">
        <v>0</v>
      </c>
    </row>
    <row r="24" spans="1:32" x14ac:dyDescent="0.3">
      <c r="A24" s="62">
        <v>10</v>
      </c>
      <c r="B24" s="30"/>
      <c r="C24" s="30"/>
      <c r="D24" s="30"/>
      <c r="E24" s="30"/>
      <c r="F24" s="30"/>
      <c r="G24" s="30"/>
      <c r="H24" s="31"/>
      <c r="I24" s="30"/>
      <c r="J24" s="32"/>
      <c r="K24" s="32"/>
      <c r="L24" s="33"/>
      <c r="M24" s="34"/>
      <c r="N24" s="35">
        <f>IF(M24=1,'[1]ilość MODUŁÓW'!W15,'[1]ilość MODUŁÓW'!V15)</f>
        <v>0</v>
      </c>
      <c r="O24" s="36"/>
      <c r="P24" s="34"/>
      <c r="Q24" s="35">
        <f>N24-S24-T24-U24</f>
        <v>0</v>
      </c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8">
        <f>[1]Montaż!W24+M45+([1]Narzuty!$C$39+1)*IF(Y3="eur",
                           IF(J24="EI",
                                              (((AD25+([1]IE!X52+[1]IE!X53+[1]NE!X56+[1]NE!X57+[1]TE!X55+[1]TE!X56+[1]SE!X40+[1]SE!X41+[1]DE!X51+[1]DE!X52+[1]DE2!X51+[1]DE2!X52)*(1+[1]Narzuty!$C$59))/Y2))*C24*IF(P24="BEZ PŁYT",(1+10%),1),
                                              (([1]IE!X52+[1]IE!X53+[1]NE!X56+[1]NE!X57+[1]TE!X55+[1]TE!X56+[1]SE!X40+[1]SE!X41+[1]DE!X51+[1]DE!X52+[1]DE2!X51+[1]DE2!X52+AD25)/Y2)*C24*IF(P24="BEZ PŁYT",(1+10%),1)),
                           IF(J24="EI",
                                    IF(V3&gt;0,
                                             (AD25+([1]IE!X52+[1]IE!X53+[1]NE!X56+[1]NE!X57+[1]TE!X55+[1]TE!X56+[1]SE!X40+[1]SE!X41+[1]DE!X51+[1]DE!X52+[1]DE2!X51+[1]DE2!X52)*(1+[1]Narzuty!$C$59))*C24*(1+V3)*IF(P24="BEZ PŁYT",(1+10%),1),
                                              (AD25+([1]IE!X52+[1]IE!X53+[1]NE!X56+[1]NE!X57+[1]TE!X55+[1]TE!X56+[1]SE!X40+[1]SE!X41+[1]DE!X51+[1]DE!X52+[1]DE2!X51+[1]DE2!X52)*(1+[1]Narzuty!$C$59))*C24*IF(P24="BEZ PŁYT",(1+10%),1)),
                           IF(V3&gt;0,
                                  ([1]IE!X52+[1]IE!X53+[1]NE!X56+[1]NE!X57+[1]TE!X55+[1]TE!X56+[1]SE!X40+[1]SE!X41+[1]DE!X51+[1]DE!X52+[1]DE2!X51+[1]DE2!X52+AD25)*C24*(1+V3)*IF(P24="BEZ PŁYT",(1+10%),1),
                                 ([1]IE!X52+[1]IE!X53+[1]NE!X56+[1]NE!X57+[1]TE!X55+[1]TE!X56+[1]SE!X40+[1]SE!X41+[1]DE!X51+[1]DE!X52+[1]DE2!X51+[1]DE2!X52+AD25)*C24*IF(P24="BEZ PŁYT",(1+10%),1))))</f>
        <v>0</v>
      </c>
      <c r="AC24" s="38">
        <f>[1]Montaż!W23+F45+([1]Narzuty!$C$39+1)*IF(Y3="eur",
                           IF(J24="EI",
                                              (((AD25+([1]Tory!X21+[1]Tory!X22+[1]Tory!X24+[1]Tory!X25+[1]Tory!X27)*(1+[1]Narzuty!$C$59))/Y2))*C24*IF(P24="BEZ PŁYT",(1+10%),1),
                                              (([1]Tory!X21+[1]Tory!X22+[1]Tory!X24+[1]Tory!X25+[1]Tory!X27)/Y2)*C24*IF(P24="BEZ PŁYT",(1+10%),1)),
                           IF(J24="EI",
                                    IF(V3&gt;0,
                                             (AD25+([1]Tory!X21+[1]Tory!X22+[1]Tory!X24+[1]Tory!X25+[1]Tory!X27)*(1+[1]Narzuty!$C$59))*C24*(1+V3)*IF(P24="BEZ PŁYT",(1+10%),1),
                                              (AD25+([1]Tory!X21+[1]Tory!X22+[1]Tory!X24+[1]Tory!X25+[1]Tory!X27)*(1+[1]Narzuty!$C$59))*C24*IF(P24="BEZ PŁYT",(1+10%),1)),
                           IF(V3&gt;0,
                                  ([1]Tory!X21+[1]Tory!X22+[1]Tory!X24+[1]Tory!X25+[1]Tory!X27)*C24*(1+V3)*IF(P24="BEZ PŁYT",(1+10%),1),
                                 ([1]Tory!X21+[1]Tory!X22+[1]Tory!X24+[1]Tory!X25+[1]Tory!X27)*C24*IF(P24="BEZ PŁYT",(1+10%),1))))</f>
        <v>0</v>
      </c>
      <c r="AD24" s="38">
        <f>[1]Montaż!W23+[1]Montaż!W24+(F45+M45)+([1]Narzuty!$C$39+1)*IF(Y3="eur",
                           IF(J24="EI",
                                              (((AD25+([1]Tory!X21+[1]Tory!X22+[1]Tory!X24+[1]Tory!X25+[1]Tory!X27+[1]IE!X52+[1]IE!X53+[1]NE!X56+[1]NE!X57+[1]TE!X55+[1]TE!X56+[1]SE!X40+[1]SE!X41+[1]DE!X51+[1]DE!X52+[1]DE2!X51+[1]DE2!X52)*(1+[1]Narzuty!$C$59))/Y2))*C24*IF(P24="BEZ PŁYT",(1+10%),1),
                                              (([1]Tory!X21+[1]Tory!X22+[1]Tory!X24+[1]Tory!X25+[1]Tory!X27+[1]IE!X52+[1]IE!X53+[1]NE!X56+[1]NE!X57+[1]TE!X55+[1]TE!X56+[1]SE!X40+[1]SE!X41+[1]DE!X51+[1]DE!X52+[1]DE2!X51+[1]DE2!X52+AD25)/Y2)*C24*IF(P24="BEZ PŁYT",(1+10%),1)),
                           IF(J24="EI",
                                    IF(V3&gt;0,
                                             (AD25+([1]Tory!X21+[1]Tory!X22+[1]Tory!X24+[1]Tory!X25+[1]Tory!X27+[1]IE!X52+[1]IE!X53+[1]NE!X56+[1]NE!X57+[1]TE!X55+[1]TE!X56+[1]SE!X40+[1]SE!X41+[1]DE!X51+[1]DE!X52+[1]DE2!X51+[1]DE2!X52)*(1+[1]Narzuty!$C$59))*C24*(1+V3)*IF(P24="BEZ PŁYT",(1+10%),1),
                                              (AD25+([1]Tory!X21+[1]Tory!X22+[1]Tory!X24+[1]Tory!X25+[1]Tory!X27+[1]IE!X52+[1]IE!X53+[1]NE!X56+[1]NE!X57+[1]TE!X55+[1]TE!X56+[1]SE!X40+[1]SE!X41+[1]DE!X51+[1]DE!X52+[1]DE2!X51+[1]DE2!X52)*(1+[1]Narzuty!$C$59))*C24*IF(P24="BEZ PŁYT",(1+10%),1)),
                           IF(V3&gt;0,
                                  ([1]Tory!X21+[1]Tory!X22+[1]Tory!X24+[1]Tory!X25+[1]Tory!X27+[1]IE!X52+[1]IE!X53+[1]NE!X56+[1]NE!X57+[1]TE!X55+[1]TE!X56+[1]SE!X40+[1]SE!X41+[1]DE!X51+[1]DE!X52+[1]DE2!X51+[1]DE2!X52+AD25)*C24*(1+V3)*IF(P24="BEZ PŁYT",(1+10%),1),
                                 ([1]Tory!X21+[1]Tory!X22+[1]Tory!X24+[1]Tory!X25+[1]Tory!X27+[1]IE!X52+[1]IE!X53+[1]NE!X56+[1]NE!X57+[1]TE!X55+[1]TE!X56+[1]SE!X40+[1]SE!X41+[1]DE!X51+[1]DE!X52+[1]DE2!X51+[1]DE2!X52+AD25)*C24*IF(P24="BEZ PŁYT",(1+10%),1))))</f>
        <v>0</v>
      </c>
      <c r="AE24" s="38">
        <f>IF(Y3="eur",0,[1]Montaż!W25)</f>
        <v>0</v>
      </c>
      <c r="AF24" s="39">
        <f>(ROUND(AD24,0)*(1-AF25)+ROUND(AE24,0))</f>
        <v>0</v>
      </c>
    </row>
    <row r="25" spans="1:32" x14ac:dyDescent="0.3">
      <c r="A25" s="58"/>
      <c r="B25" s="65"/>
      <c r="C25" s="42" t="str">
        <f>IF(G24&gt;=5000,IF(H24="j","!! Dla podanej wysokości wybierz parkowanie NPN",""),"")</f>
        <v/>
      </c>
      <c r="D25" s="42"/>
      <c r="E25" s="42"/>
      <c r="F25" s="43"/>
      <c r="G25" s="42"/>
      <c r="H25" s="44" t="s">
        <v>16</v>
      </c>
      <c r="I25" s="45">
        <f>IF(H24="j",0,IF(H24="npn",ROUNDUP(N24/8,0),0))</f>
        <v>0</v>
      </c>
      <c r="J25" s="46" t="str">
        <f>IF(J24=45,"",IF(J24=49,"",IF(J24=51,"",IF(J24=53,"",IF(J24=54,"",IF(J24="EI","",IF(J24="","","!! Podaj poprawną akustykę")))))))</f>
        <v/>
      </c>
      <c r="K25" s="46" t="str">
        <f>IF(J24="EI",IF(K24="EI","","!! Błędna klasa palności"),"")</f>
        <v/>
      </c>
      <c r="L25" s="46" t="str">
        <f>IF(AND(H24="npn",I24=0),"Podaj liczbę stosów!",IF(AND(H24="j",I24&gt;0),"Usuń liczbę stosów",""))</f>
        <v/>
      </c>
      <c r="M25" s="43"/>
      <c r="N25" s="47"/>
      <c r="O25" s="48"/>
      <c r="P25" s="47"/>
      <c r="Q25" s="49"/>
      <c r="R25" s="50" t="str">
        <f>IF(S24&gt;0,IF(G24&gt;3150,"Nie można zastosować szklanych modułów!",""),"")</f>
        <v/>
      </c>
      <c r="S25" s="49"/>
      <c r="T25" s="49"/>
      <c r="U25" s="49"/>
      <c r="V25" s="49"/>
      <c r="W25" s="49"/>
      <c r="X25" s="60"/>
      <c r="Y25" s="51" t="str">
        <f>IF(A2="EN","SURCHARGE --&gt;","DOPŁATA --&gt;")</f>
        <v>DOPŁATA --&gt;</v>
      </c>
      <c r="Z25" s="51"/>
      <c r="AA25" s="51"/>
      <c r="AB25" s="51"/>
      <c r="AC25" s="51"/>
      <c r="AD25" s="66"/>
      <c r="AE25" s="51" t="str">
        <f>IF(A2="EN","DISCOUNT --&gt;","RABAT --&gt;")</f>
        <v>RABAT --&gt;</v>
      </c>
      <c r="AF25" s="54">
        <v>0</v>
      </c>
    </row>
  </sheetData>
  <mergeCells count="10">
    <mergeCell ref="AD1:AE1"/>
    <mergeCell ref="A2:B3"/>
    <mergeCell ref="U2:V2"/>
    <mergeCell ref="AF2:AF3"/>
    <mergeCell ref="A1:B1"/>
    <mergeCell ref="C1:O3"/>
    <mergeCell ref="P1:Q3"/>
    <mergeCell ref="R1:T2"/>
    <mergeCell ref="U1:V1"/>
    <mergeCell ref="X1:X2"/>
  </mergeCells>
  <conditionalFormatting sqref="I6">
    <cfRule type="expression" dxfId="50" priority="19">
      <formula>AND(H6="npn",I6=0,I6="")</formula>
    </cfRule>
    <cfRule type="expression" dxfId="49" priority="20">
      <formula>AND(H6="j",I6&gt;0)</formula>
    </cfRule>
  </conditionalFormatting>
  <conditionalFormatting sqref="I8">
    <cfRule type="expression" dxfId="48" priority="9">
      <formula>AND(H8="j",I8&gt;0)</formula>
    </cfRule>
    <cfRule type="expression" dxfId="47" priority="18">
      <formula>AND(H8="npn",OR(I8=0,I8=""))</formula>
    </cfRule>
  </conditionalFormatting>
  <conditionalFormatting sqref="I10">
    <cfRule type="expression" dxfId="46" priority="8">
      <formula>AND(H10="j",I10&gt;0)</formula>
    </cfRule>
    <cfRule type="expression" dxfId="45" priority="17">
      <formula>AND(H10="npn",OR(I10=0,I10=""))</formula>
    </cfRule>
  </conditionalFormatting>
  <conditionalFormatting sqref="I12">
    <cfRule type="expression" dxfId="44" priority="7">
      <formula>AND(H12="j",I12&gt;0)</formula>
    </cfRule>
    <cfRule type="expression" dxfId="43" priority="16">
      <formula>AND(H12="npn",OR(I12=0,I12=""))</formula>
    </cfRule>
  </conditionalFormatting>
  <conditionalFormatting sqref="I14">
    <cfRule type="expression" dxfId="42" priority="6">
      <formula>AND(H14="j",I14&gt;0)</formula>
    </cfRule>
    <cfRule type="expression" dxfId="41" priority="15">
      <formula>AND(H14="npn",OR(I14=0,I14=""))</formula>
    </cfRule>
  </conditionalFormatting>
  <conditionalFormatting sqref="I16">
    <cfRule type="expression" dxfId="40" priority="5">
      <formula>AND(H16="j",I16&gt;0)</formula>
    </cfRule>
    <cfRule type="expression" dxfId="39" priority="14">
      <formula>AND(H16="npn",OR(I16=0,I16=""))</formula>
    </cfRule>
  </conditionalFormatting>
  <conditionalFormatting sqref="I18">
    <cfRule type="expression" dxfId="38" priority="4">
      <formula>AND(H18="j",I18&gt;0)</formula>
    </cfRule>
    <cfRule type="expression" dxfId="37" priority="13">
      <formula>AND(H18="npn",OR(I18=0,I18=""))</formula>
    </cfRule>
  </conditionalFormatting>
  <conditionalFormatting sqref="I20">
    <cfRule type="expression" dxfId="36" priority="3">
      <formula>AND(H20="j",I20&gt;0)</formula>
    </cfRule>
    <cfRule type="expression" dxfId="35" priority="12">
      <formula>AND(H20="npn",OR(I20=0,I20=""))</formula>
    </cfRule>
  </conditionalFormatting>
  <conditionalFormatting sqref="I22">
    <cfRule type="expression" dxfId="34" priority="2">
      <formula>AND(H22="j",I22&gt;0)</formula>
    </cfRule>
    <cfRule type="expression" dxfId="33" priority="11">
      <formula>AND(H22="npn",OR(I22=0,I22=""))</formula>
    </cfRule>
  </conditionalFormatting>
  <conditionalFormatting sqref="I24">
    <cfRule type="expression" dxfId="32" priority="10">
      <formula>AND(H24="npn",OR(I24=0,I24=""))</formula>
    </cfRule>
    <cfRule type="expression" dxfId="31" priority="1">
      <formula>AND(H24="j",I24&gt;0)</formula>
    </cfRule>
  </conditionalFormatting>
  <conditionalFormatting sqref="K6">
    <cfRule type="expression" dxfId="30" priority="50">
      <formula>AND(J6="EI",K6=1)</formula>
    </cfRule>
    <cfRule type="expression" dxfId="29" priority="51">
      <formula>AND(J6="EI",K6=0)</formula>
    </cfRule>
  </conditionalFormatting>
  <conditionalFormatting sqref="K8">
    <cfRule type="expression" dxfId="28" priority="25">
      <formula>AND(J8="EI",K8=1)</formula>
    </cfRule>
    <cfRule type="expression" dxfId="27" priority="26">
      <formula>AND(J8="EI",K8=0)</formula>
    </cfRule>
  </conditionalFormatting>
  <conditionalFormatting sqref="K10">
    <cfRule type="expression" dxfId="26" priority="24">
      <formula>AND(J10="EI",K10=0)</formula>
    </cfRule>
    <cfRule type="expression" dxfId="25" priority="23">
      <formula>AND(J10="EI",K10=1)</formula>
    </cfRule>
  </conditionalFormatting>
  <conditionalFormatting sqref="K12">
    <cfRule type="expression" dxfId="24" priority="21">
      <formula>AND(J12="EI",K12=1)</formula>
    </cfRule>
    <cfRule type="expression" dxfId="23" priority="22">
      <formula>AND(J12="EI",K12=0)</formula>
    </cfRule>
  </conditionalFormatting>
  <conditionalFormatting sqref="K14">
    <cfRule type="expression" dxfId="22" priority="37">
      <formula>AND(J14="EI",K14=1)</formula>
    </cfRule>
    <cfRule type="expression" dxfId="21" priority="38">
      <formula>AND(J14="EI",K14=0)</formula>
    </cfRule>
  </conditionalFormatting>
  <conditionalFormatting sqref="K16">
    <cfRule type="expression" dxfId="20" priority="35">
      <formula>AND(J16="EI",K16=1)</formula>
    </cfRule>
    <cfRule type="expression" dxfId="19" priority="36">
      <formula>AND(J16="EI",K16=0)</formula>
    </cfRule>
  </conditionalFormatting>
  <conditionalFormatting sqref="K18">
    <cfRule type="expression" dxfId="18" priority="33">
      <formula>AND(J18="EI",K18=1)</formula>
    </cfRule>
    <cfRule type="expression" dxfId="17" priority="34">
      <formula>AND(J18="EI",K18=0)</formula>
    </cfRule>
  </conditionalFormatting>
  <conditionalFormatting sqref="K20">
    <cfRule type="expression" dxfId="16" priority="31">
      <formula>AND(J20="EI",K20=1)</formula>
    </cfRule>
    <cfRule type="expression" dxfId="15" priority="32">
      <formula>AND(J20="EI",K20=0)</formula>
    </cfRule>
  </conditionalFormatting>
  <conditionalFormatting sqref="K22">
    <cfRule type="expression" dxfId="14" priority="29">
      <formula>AND(J22="EI",K22=1)</formula>
    </cfRule>
    <cfRule type="expression" dxfId="13" priority="30">
      <formula>AND(J22="EI",K22=0)</formula>
    </cfRule>
  </conditionalFormatting>
  <conditionalFormatting sqref="K24">
    <cfRule type="expression" dxfId="12" priority="27">
      <formula>AND(J24="EI",K24=1)</formula>
    </cfRule>
    <cfRule type="expression" dxfId="11" priority="28">
      <formula>AND(J24="EI",K24=0)</formula>
    </cfRule>
  </conditionalFormatting>
  <conditionalFormatting sqref="R6">
    <cfRule type="expression" dxfId="10" priority="48">
      <formula>AND($G$6&gt;3200,S6&gt;0)</formula>
    </cfRule>
  </conditionalFormatting>
  <conditionalFormatting sqref="R8">
    <cfRule type="expression" dxfId="9" priority="47">
      <formula>AND(G8&gt;3200,S8&gt;0)</formula>
    </cfRule>
  </conditionalFormatting>
  <conditionalFormatting sqref="R10">
    <cfRule type="expression" dxfId="8" priority="46">
      <formula>AND(G10&gt;3200,S10&gt;0)</formula>
    </cfRule>
  </conditionalFormatting>
  <conditionalFormatting sqref="R12">
    <cfRule type="expression" dxfId="7" priority="45">
      <formula>AND(G12&gt;3200,S12&gt;0)</formula>
    </cfRule>
  </conditionalFormatting>
  <conditionalFormatting sqref="R14">
    <cfRule type="expression" dxfId="6" priority="44">
      <formula>AND(G14&gt;3200,S14&gt;0)</formula>
    </cfRule>
  </conditionalFormatting>
  <conditionalFormatting sqref="R16">
    <cfRule type="expression" dxfId="5" priority="43">
      <formula>AND(G16&gt;3200,S16&gt;0)</formula>
    </cfRule>
  </conditionalFormatting>
  <conditionalFormatting sqref="R18">
    <cfRule type="expression" dxfId="4" priority="42">
      <formula>AND(G18&gt;3200,S18&gt;0)</formula>
    </cfRule>
  </conditionalFormatting>
  <conditionalFormatting sqref="R20">
    <cfRule type="expression" dxfId="3" priority="41">
      <formula>AND(G20&gt;3200,S20&gt;0)</formula>
    </cfRule>
  </conditionalFormatting>
  <conditionalFormatting sqref="R22">
    <cfRule type="expression" dxfId="2" priority="40">
      <formula>AND(G22&gt;3200,S22&gt;0)</formula>
    </cfRule>
  </conditionalFormatting>
  <conditionalFormatting sqref="R24">
    <cfRule type="expression" dxfId="1" priority="39">
      <formula>AND(G24&gt;3200,S24&gt;0)</formula>
    </cfRule>
  </conditionalFormatting>
  <conditionalFormatting sqref="Y2:AA2">
    <cfRule type="cellIs" dxfId="0" priority="49" operator="lessThan">
      <formula>1.1</formula>
    </cfRule>
  </conditionalFormatting>
  <dataValidations count="2">
    <dataValidation type="list" allowBlank="1" showInputMessage="1" showErrorMessage="1" promptTitle="UWAGA!" prompt="max H=3150" sqref="R6 R8 R10 R12 R14 R16 R18 R20 R22 R24" xr:uid="{97B7FE88-3EE6-42E5-B39F-65E8D5D6C32B}">
      <formula1>szkło</formula1>
    </dataValidation>
    <dataValidation type="list" allowBlank="1" showInputMessage="1" showErrorMessage="1" sqref="X3" xr:uid="{10243508-FECF-4CB4-AEFD-D54D1E780100}">
      <formula1>tak_nie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KALKULATOR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admin_7</cp:lastModifiedBy>
  <dcterms:created xsi:type="dcterms:W3CDTF">2015-06-05T18:19:34Z</dcterms:created>
  <dcterms:modified xsi:type="dcterms:W3CDTF">2026-05-19T10:40:07Z</dcterms:modified>
</cp:coreProperties>
</file>